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报价汇总" sheetId="1" state="visible" r:id="rId1"/>
    <sheet xmlns:r="http://schemas.openxmlformats.org/officeDocument/2006/relationships" name="安全服务报价" sheetId="2" state="visible" r:id="rId2"/>
    <sheet xmlns:r="http://schemas.openxmlformats.org/officeDocument/2006/relationships" name="基础设施报价" sheetId="3" state="visible" r:id="rId3"/>
    <sheet xmlns:r="http://schemas.openxmlformats.org/officeDocument/2006/relationships" name="环境配置对比" sheetId="4" state="visible" r:id="rId4"/>
    <sheet xmlns:r="http://schemas.openxmlformats.org/officeDocument/2006/relationships" name="架构总览" sheetId="5" state="visible" r:id="rId5"/>
    <sheet xmlns:r="http://schemas.openxmlformats.org/officeDocument/2006/relationships" name="OWASP映射" sheetId="6" state="visible" r:id="rId6"/>
    <sheet xmlns:r="http://schemas.openxmlformats.org/officeDocument/2006/relationships" name="渗透测试报价" sheetId="7" state="visible" r:id="rId7"/>
    <sheet xmlns:r="http://schemas.openxmlformats.org/officeDocument/2006/relationships" name="VARA合规要求" sheetId="8" state="visible" r:id="rId8"/>
    <sheet xmlns:r="http://schemas.openxmlformats.org/officeDocument/2006/relationships" name="案例参考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$#,##0.000"/>
    <numFmt numFmtId="166" formatCode="0.00&quot;x&quot;"/>
  </numFmts>
  <fonts count="20">
    <font>
      <name val="Calibri"/>
      <family val="2"/>
      <color theme="1"/>
      <sz val="11"/>
      <scheme val="minor"/>
    </font>
    <font>
      <name val="Calibri"/>
      <b val="1"/>
      <color rgb="002F5496"/>
      <sz val="14"/>
    </font>
    <font>
      <name val="Calibri"/>
      <i val="1"/>
      <color rgb="00666666"/>
      <sz val="10"/>
    </font>
    <font>
      <name val="Calibri"/>
      <b val="1"/>
      <color rgb="002F5496"/>
      <sz val="10"/>
    </font>
    <font>
      <name val="Calibri"/>
      <b val="1"/>
      <color rgb="00FFFFFF"/>
      <sz val="11"/>
    </font>
    <font>
      <name val="Calibri"/>
      <sz val="10"/>
    </font>
    <font>
      <name val="Calibri"/>
      <color rgb="000000FF"/>
      <sz val="10"/>
    </font>
    <font>
      <name val="Calibri"/>
      <i val="1"/>
      <sz val="9"/>
    </font>
    <font>
      <name val="Calibri"/>
      <color rgb="00000000"/>
      <sz val="10"/>
    </font>
    <font>
      <name val="Calibri"/>
      <sz val="9"/>
    </font>
    <font>
      <name val="Calibri"/>
      <b val="1"/>
      <sz val="10"/>
    </font>
    <font>
      <name val="Calibri"/>
      <color rgb="00008000"/>
      <sz val="10"/>
    </font>
    <font>
      <name val="Calibri"/>
      <b val="1"/>
      <color rgb="00008000"/>
      <sz val="10"/>
    </font>
    <font>
      <name val="Calibri"/>
      <i val="1"/>
      <sz val="10"/>
    </font>
    <font>
      <name val="Calibri"/>
      <i val="1"/>
      <color rgb="00CC0000"/>
      <sz val="10"/>
    </font>
    <font>
      <name val="Calibri"/>
      <b val="1"/>
      <color rgb="00008000"/>
      <sz val="11"/>
    </font>
    <font>
      <name val="Calibri"/>
      <b val="1"/>
      <sz val="11"/>
    </font>
    <font>
      <name val="Calibri"/>
      <b val="1"/>
      <sz val="9"/>
    </font>
    <font>
      <name val="Calibri"/>
      <b val="1"/>
      <color rgb="00CC0000"/>
      <sz val="10"/>
    </font>
    <font>
      <i val="1"/>
      <sz val="10"/>
    </font>
  </fonts>
  <fills count="13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DDEBF7"/>
        <bgColor rgb="00DDEBF7"/>
      </patternFill>
    </fill>
    <fill>
      <patternFill patternType="solid">
        <fgColor rgb="00FCE4D6"/>
        <bgColor rgb="00FCE4D6"/>
      </patternFill>
    </fill>
    <fill>
      <patternFill patternType="solid">
        <fgColor rgb="00E4DFEC"/>
        <bgColor rgb="00E4DFEC"/>
      </patternFill>
    </fill>
    <fill>
      <patternFill patternType="solid">
        <fgColor rgb="00D9E2F3"/>
        <bgColor rgb="00D9E2F3"/>
      </patternFill>
    </fill>
    <fill>
      <patternFill patternType="solid">
        <fgColor rgb="00F2F2F2"/>
        <bgColor rgb="00F2F2F2"/>
      </patternFill>
    </fill>
    <fill>
      <patternFill patternType="solid">
        <fgColor rgb="00FF9999"/>
        <bgColor rgb="00FF99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1" pivotButton="0" quotePrefix="0" xfId="0"/>
    <xf numFmtId="0" fontId="5" fillId="0" borderId="1" pivotButton="0" quotePrefix="0" xfId="0"/>
    <xf numFmtId="9" fontId="6" fillId="2" borderId="1" pivotButton="0" quotePrefix="0" xfId="0"/>
    <xf numFmtId="0" fontId="7" fillId="0" borderId="1" pivotButton="0" quotePrefix="0" xfId="0"/>
    <xf numFmtId="0" fontId="6" fillId="2" borderId="1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164" fontId="6" fillId="0" borderId="1" pivotButton="0" quotePrefix="0" xfId="0"/>
    <xf numFmtId="164" fontId="8" fillId="0" borderId="1" pivotButton="0" quotePrefix="0" xfId="0"/>
    <xf numFmtId="0" fontId="9" fillId="0" borderId="1" pivotButton="0" quotePrefix="0" xfId="0"/>
    <xf numFmtId="164" fontId="0" fillId="0" borderId="0" pivotButton="0" quotePrefix="0" xfId="0"/>
    <xf numFmtId="0" fontId="10" fillId="4" borderId="1" pivotButton="0" quotePrefix="0" xfId="0"/>
    <xf numFmtId="164" fontId="10" fillId="4" borderId="1" pivotButton="0" quotePrefix="0" xfId="0"/>
    <xf numFmtId="0" fontId="0" fillId="0" borderId="1" pivotButton="0" quotePrefix="0" xfId="0"/>
    <xf numFmtId="164" fontId="11" fillId="0" borderId="1" pivotButton="0" quotePrefix="0" xfId="0"/>
    <xf numFmtId="0" fontId="7" fillId="0" borderId="0" pivotButton="0" quotePrefix="0" xfId="0"/>
    <xf numFmtId="164" fontId="12" fillId="0" borderId="1" pivotButton="0" quotePrefix="0" xfId="0"/>
    <xf numFmtId="0" fontId="10" fillId="0" borderId="0" pivotButton="0" quotePrefix="0" xfId="0"/>
    <xf numFmtId="0" fontId="9" fillId="0" borderId="0" pivotButton="0" quotePrefix="0" xfId="0"/>
    <xf numFmtId="0" fontId="19" fillId="0" borderId="0" applyAlignment="1" pivotButton="0" quotePrefix="0" xfId="0">
      <alignment wrapText="1"/>
    </xf>
    <xf numFmtId="165" fontId="6" fillId="0" borderId="1" pivotButton="0" quotePrefix="0" xfId="0"/>
    <xf numFmtId="0" fontId="6" fillId="0" borderId="1" pivotButton="0" quotePrefix="0" xfId="0"/>
    <xf numFmtId="0" fontId="0" fillId="4" borderId="1" pivotButton="0" quotePrefix="0" xfId="0"/>
    <xf numFmtId="0" fontId="10" fillId="0" borderId="1" pivotButton="0" quotePrefix="0" xfId="0"/>
    <xf numFmtId="164" fontId="10" fillId="0" borderId="1" pivotButton="0" quotePrefix="0" xfId="0"/>
    <xf numFmtId="164" fontId="13" fillId="0" borderId="0" pivotButton="0" quotePrefix="0" xfId="0"/>
    <xf numFmtId="0" fontId="14" fillId="0" borderId="0" pivotButton="0" quotePrefix="0" xfId="0"/>
    <xf numFmtId="0" fontId="6" fillId="0" borderId="1" applyAlignment="1" pivotButton="0" quotePrefix="0" xfId="0">
      <alignment horizontal="center"/>
    </xf>
    <xf numFmtId="0" fontId="5" fillId="5" borderId="1" pivotButton="0" quotePrefix="0" xfId="0"/>
    <xf numFmtId="0" fontId="6" fillId="5" borderId="1" applyAlignment="1" pivotButton="0" quotePrefix="0" xfId="0">
      <alignment horizontal="center"/>
    </xf>
    <xf numFmtId="0" fontId="9" fillId="5" borderId="1" pivotButton="0" quotePrefix="0" xfId="0"/>
    <xf numFmtId="0" fontId="10" fillId="4" borderId="1" applyAlignment="1" pivotButton="0" quotePrefix="0" xfId="0">
      <alignment horizontal="center"/>
    </xf>
    <xf numFmtId="164" fontId="11" fillId="0" borderId="0" pivotButton="0" quotePrefix="0" xfId="0"/>
    <xf numFmtId="164" fontId="15" fillId="0" borderId="0" pivotButton="0" quotePrefix="0" xfId="0"/>
    <xf numFmtId="166" fontId="16" fillId="0" borderId="0" pivotButton="0" quotePrefix="0" xfId="0"/>
    <xf numFmtId="0" fontId="5" fillId="6" borderId="1" pivotButton="0" quotePrefix="0" xfId="0"/>
    <xf numFmtId="0" fontId="5" fillId="0" borderId="1" applyAlignment="1" pivotButton="0" quotePrefix="0" xfId="0">
      <alignment horizontal="center"/>
    </xf>
    <xf numFmtId="0" fontId="5" fillId="7" borderId="1" pivotButton="0" quotePrefix="0" xfId="0"/>
    <xf numFmtId="0" fontId="5" fillId="8" borderId="1" pivotButton="0" quotePrefix="0" xfId="0"/>
    <xf numFmtId="0" fontId="5" fillId="9" borderId="1" pivotButton="0" quotePrefix="0" xfId="0"/>
    <xf numFmtId="0" fontId="5" fillId="10" borderId="1" pivotButton="0" quotePrefix="0" xfId="0"/>
    <xf numFmtId="0" fontId="5" fillId="11" borderId="1" pivotButton="0" quotePrefix="0" xfId="0"/>
    <xf numFmtId="0" fontId="17" fillId="0" borderId="1" pivotButton="0" quotePrefix="0" xfId="0"/>
    <xf numFmtId="0" fontId="17" fillId="12" borderId="1" applyAlignment="1" pivotButton="0" quotePrefix="0" xfId="0">
      <alignment horizontal="center"/>
    </xf>
    <xf numFmtId="0" fontId="17" fillId="0" borderId="1" applyAlignment="1" pivotButton="0" quotePrefix="0" xfId="0">
      <alignment horizontal="center"/>
    </xf>
    <xf numFmtId="9" fontId="6" fillId="2" borderId="0" pivotButton="0" quotePrefix="0" xfId="0"/>
    <xf numFmtId="0" fontId="18" fillId="0" borderId="1" pivotButton="0" quotePrefix="0" xfId="0"/>
    <xf numFmtId="164" fontId="18" fillId="0" borderId="1" pivotButton="0" quotePrefix="0" xfId="0"/>
    <xf numFmtId="0" fontId="9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月费对比: 单环境 vs 2Prod+1UAT (安全服务占比最大)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strRef>
              <f>'总报价汇总'!J14</f>
            </strRef>
          </tx>
          <spPr>
            <a:ln xmlns:a="http://schemas.openxmlformats.org/drawingml/2006/main">
              <a:prstDash val="solid"/>
            </a:ln>
          </spPr>
          <cat>
            <numRef>
              <f>'总报价汇总'!$I$15:$I$16</f>
            </numRef>
          </cat>
          <val>
            <numRef>
              <f>'总报价汇总'!$J$15:$J$16</f>
            </numRef>
          </val>
        </ser>
        <ser>
          <idx val="1"/>
          <order val="1"/>
          <tx>
            <strRef>
              <f>'总报价汇总'!K14</f>
            </strRef>
          </tx>
          <spPr>
            <a:ln xmlns:a="http://schemas.openxmlformats.org/drawingml/2006/main">
              <a:prstDash val="solid"/>
            </a:ln>
          </spPr>
          <cat>
            <numRef>
              <f>'总报价汇总'!$I$15:$I$16</f>
            </numRef>
          </cat>
          <val>
            <numRef>
              <f>'总报价汇总'!$K$15:$K$16</f>
            </numRef>
          </val>
        </ser>
        <dLbls>
          <numFmt formatCode="$#,##0"/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月费 (USD)</a:t>
                </a:r>
              </a:p>
            </rich>
          </tx>
          <overlay val="0"/>
        </title>
        <numFmt formatCode="$#,##0" sourceLinked="0"/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安全服务月费分布: Shield Advanced占主导地位</a:t>
            </a:r>
          </a:p>
        </rich>
      </tx>
      <overlay val="0"/>
    </title>
    <plotArea>
      <pieChart>
        <varyColors val="1"/>
        <ser>
          <idx val="0"/>
          <order val="0"/>
          <tx>
            <strRef>
              <f>'安全服务报价'!E3</f>
            </strRef>
          </tx>
          <spPr>
            <a:ln xmlns:a="http://schemas.openxmlformats.org/drawingml/2006/main">
              <a:prstDash val="solid"/>
            </a:ln>
          </spPr>
          <cat>
            <numRef>
              <f>'安全服务报价'!$A$4:$A$17</f>
            </numRef>
          </cat>
          <val>
            <numRef>
              <f>'安全服务报价'!$E$4:$E$17</f>
            </numRef>
          </val>
        </ser>
        <dLbls>
          <showLegendKey val="0"/>
          <showVal val="0"/>
          <showCatName val="0"/>
          <showSerName val="0"/>
          <showPercent val="1"/>
        </dLbls>
        <firstSliceAng val="0"/>
      </pieChart>
    </plotArea>
    <legend>
      <legendPos val="r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32</row>
      <rowOff>0</rowOff>
    </from>
    <ext cx="504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20</row>
      <rowOff>0</rowOff>
    </from>
    <ext cx="576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30" customWidth="1" min="7" max="7"/>
  </cols>
  <sheetData>
    <row r="1">
      <c r="A1" s="1" t="inlineStr">
        <is>
          <t>Web3 Crypto Exchange - AWS安全架构与报价清单</t>
        </is>
      </c>
    </row>
    <row r="2">
      <c r="A2" s="2" t="inlineStr">
        <is>
          <t>区域: Middle East (me-south-1 / Bahrain) | 适用于迪拜VARA合规要求</t>
        </is>
      </c>
    </row>
    <row r="4">
      <c r="A4" s="3" t="inlineStr">
        <is>
          <t>关键假设 (Key Assumptions)</t>
        </is>
      </c>
    </row>
    <row r="5">
      <c r="A5" s="4" t="inlineStr">
        <is>
          <t>假设项</t>
        </is>
      </c>
      <c r="B5" s="4" t="inlineStr">
        <is>
          <t>数值</t>
        </is>
      </c>
      <c r="C5" s="4" t="inlineStr">
        <is>
          <t>说明</t>
        </is>
      </c>
    </row>
    <row r="6">
      <c r="A6" s="5" t="inlineStr">
        <is>
          <t>UAT成本比例 - 基础设施</t>
        </is>
      </c>
      <c r="B6" s="6" t="n">
        <v>0.35</v>
      </c>
      <c r="C6" s="7" t="inlineStr">
        <is>
          <t>安全服务保持100%，基础设施约30-40%</t>
        </is>
      </c>
    </row>
    <row r="7">
      <c r="A7" s="5" t="inlineStr">
        <is>
          <t>UAT成本比例 - 安全服务</t>
        </is>
      </c>
      <c r="B7" s="6" t="n">
        <v>1</v>
      </c>
      <c r="C7" s="7" t="inlineStr">
        <is>
          <t>渗透测试要求安全配置完全一致</t>
        </is>
      </c>
    </row>
    <row r="8">
      <c r="A8" s="5" t="inlineStr">
        <is>
          <t>Production环境数量</t>
        </is>
      </c>
      <c r="B8" s="8" t="n">
        <v>2</v>
      </c>
      <c r="C8" s="7" t="inlineStr">
        <is>
          <t>客户需求: 2套Prod</t>
        </is>
      </c>
    </row>
    <row r="9">
      <c r="A9" s="5" t="inlineStr">
        <is>
          <t>UAT环境数量</t>
        </is>
      </c>
      <c r="B9" s="8" t="n">
        <v>1</v>
      </c>
      <c r="C9" s="7" t="inlineStr">
        <is>
          <t>客户需求: 1套UAT</t>
        </is>
      </c>
    </row>
    <row r="10">
      <c r="A10" s="5" t="inlineStr">
        <is>
          <t>年度费用月数</t>
        </is>
      </c>
      <c r="B10" s="8" t="n">
        <v>12</v>
      </c>
      <c r="C10" s="7" t="inlineStr"/>
    </row>
    <row r="11">
      <c r="A11" s="5" t="inlineStr">
        <is>
          <t>Reserved Instance折扣率</t>
        </is>
      </c>
      <c r="B11" s="6" t="n">
        <v>0.37</v>
      </c>
      <c r="C11" s="7" t="inlineStr">
        <is>
          <t>1年期RI约37-41%折扣</t>
        </is>
      </c>
    </row>
    <row r="13">
      <c r="A13" s="9" t="inlineStr">
        <is>
          <t>报价汇总 (Monthly Cost Summary)</t>
        </is>
      </c>
    </row>
    <row r="14">
      <c r="A14" s="10" t="inlineStr">
        <is>
          <t>类别</t>
        </is>
      </c>
      <c r="B14" s="10" t="inlineStr">
        <is>
          <t>单环境月费(USD)</t>
        </is>
      </c>
      <c r="C14" s="10" t="inlineStr">
        <is>
          <t>Prod×2月费(USD)</t>
        </is>
      </c>
      <c r="D14" s="10" t="inlineStr">
        <is>
          <t>UAT×1月费(USD)</t>
        </is>
      </c>
      <c r="E14" s="10" t="inlineStr">
        <is>
          <t>总月费(USD)</t>
        </is>
      </c>
      <c r="F14" s="10" t="inlineStr">
        <is>
          <t>总年费(USD)</t>
        </is>
      </c>
      <c r="G14" s="10" t="inlineStr">
        <is>
          <t>备注</t>
        </is>
      </c>
      <c r="I14" t="inlineStr">
        <is>
          <t>类别</t>
        </is>
      </c>
      <c r="J14" t="inlineStr">
        <is>
          <t>单环境月费</t>
        </is>
      </c>
      <c r="K14" t="inlineStr">
        <is>
          <t>2Prod+1UAT月费</t>
        </is>
      </c>
    </row>
    <row r="15">
      <c r="A15" s="5" t="inlineStr">
        <is>
          <t>安全服务 (Security Services)</t>
        </is>
      </c>
      <c r="B15" s="11" t="n">
        <v>7946</v>
      </c>
      <c r="C15" s="12">
        <f>B15*B8</f>
        <v/>
      </c>
      <c r="D15" s="12">
        <f>B15*B7*B9</f>
        <v/>
      </c>
      <c r="E15" s="12">
        <f>C15+D15</f>
        <v/>
      </c>
      <c r="F15" s="12">
        <f>E15*B10</f>
        <v/>
      </c>
      <c r="G15" s="13" t="inlineStr">
        <is>
          <t>安全服务UAT需100%配置</t>
        </is>
      </c>
      <c r="I15" t="inlineStr">
        <is>
          <t>安全服务</t>
        </is>
      </c>
      <c r="J15" s="14" t="n">
        <v>7946</v>
      </c>
      <c r="K15" s="14">
        <f>J15*2+J15*1</f>
        <v/>
      </c>
    </row>
    <row r="16">
      <c r="A16" s="5" t="inlineStr">
        <is>
          <t>基础设施 (Infrastructure)</t>
        </is>
      </c>
      <c r="B16" s="11" t="n">
        <v>5132</v>
      </c>
      <c r="C16" s="12">
        <f>B16*B8</f>
        <v/>
      </c>
      <c r="D16" s="12">
        <f>B16*B6*B9</f>
        <v/>
      </c>
      <c r="E16" s="12">
        <f>C16+D16</f>
        <v/>
      </c>
      <c r="F16" s="12">
        <f>E16*B10</f>
        <v/>
      </c>
      <c r="G16" s="13" t="inlineStr">
        <is>
          <t>基础设施UAT可缩减至35%</t>
        </is>
      </c>
      <c r="I16" t="inlineStr">
        <is>
          <t>基础设施</t>
        </is>
      </c>
      <c r="J16" s="14" t="n">
        <v>5132</v>
      </c>
      <c r="K16" s="14">
        <f>J16*2+J16*0.35</f>
        <v/>
      </c>
    </row>
    <row r="17">
      <c r="A17" s="15" t="inlineStr">
        <is>
          <t>合计 (Total)</t>
        </is>
      </c>
      <c r="B17" s="16">
        <f>B15+B16</f>
        <v/>
      </c>
      <c r="C17" s="16">
        <f>C15+C16</f>
        <v/>
      </c>
      <c r="D17" s="16">
        <f>D15+D16</f>
        <v/>
      </c>
      <c r="E17" s="16">
        <f>E15+E16</f>
        <v/>
      </c>
      <c r="F17" s="16">
        <f>F15+F16</f>
        <v/>
      </c>
      <c r="G17" s="15" t="inlineStr">
        <is>
          <t>2 Prod + 1 UAT ≈ 2.35x单环境</t>
        </is>
      </c>
    </row>
    <row r="19">
      <c r="A19" s="9" t="inlineStr">
        <is>
          <t>优化方案 (Reserved Instance + Savings Plans)</t>
        </is>
      </c>
    </row>
    <row r="20">
      <c r="A20" s="17" t="inlineStr">
        <is>
          <t>基础设施优化后月费(单环境)</t>
        </is>
      </c>
      <c r="B20" s="18">
        <f>B16*(1-B11)</f>
        <v/>
      </c>
      <c r="C20" s="19" t="inlineStr">
        <is>
          <t>应用1年期RI折扣后</t>
        </is>
      </c>
    </row>
    <row r="21">
      <c r="A21" s="17" t="inlineStr">
        <is>
          <t>优化后总月费(单环境)</t>
        </is>
      </c>
      <c r="B21" s="20">
        <f>B15+B20</f>
        <v/>
      </c>
    </row>
    <row r="22">
      <c r="A22" s="17" t="inlineStr">
        <is>
          <t>优化后总月费(2Prod+1UAT)</t>
        </is>
      </c>
      <c r="B22" s="20">
        <f>(B15*B8+B15*B7*B9)+(B20*B8+B20*B6*B9)</f>
        <v/>
      </c>
    </row>
    <row r="23">
      <c r="A23" s="17" t="inlineStr">
        <is>
          <t>优化后总年费(2Prod+1UAT)</t>
        </is>
      </c>
      <c r="B23" s="20">
        <f>B22*B10</f>
        <v/>
      </c>
    </row>
    <row r="25">
      <c r="A25" s="21" t="inlineStr">
        <is>
          <t>重要说明:</t>
        </is>
      </c>
    </row>
    <row r="26">
      <c r="A26" s="22" t="inlineStr">
        <is>
          <t>1. 以上报价基于Dubai/ME区域(me-south-1)公开定价，实际费用可能因用量波动</t>
        </is>
      </c>
    </row>
    <row r="27">
      <c r="A27" s="22" t="inlineStr">
        <is>
          <t>2. Shield Advanced $3,000/月为全局费用(per payer account)，不需要每个环境单独付费</t>
        </is>
      </c>
    </row>
    <row r="28">
      <c r="A28" s="22" t="inlineStr">
        <is>
          <t>3. UAT环境安全服务必须与Production完全一致，以确保渗透测试结果有效</t>
        </is>
      </c>
    </row>
    <row r="29">
      <c r="A29" s="22" t="inlineStr">
        <is>
          <t>4. 2套Prod + 1套UAT总费用约为单环境的2.35倍(非简单翻倍)</t>
        </is>
      </c>
    </row>
    <row r="30">
      <c r="A30" s="22" t="inlineStr">
        <is>
          <t>5. 建议使用Reserved Instance(1年期)可节省37-41%基础设施费用</t>
        </is>
      </c>
    </row>
    <row r="31">
      <c r="A31" s="22" t="inlineStr">
        <is>
          <t>6. CloudHSM建议至少2台实现高可用(跨AZ部署)</t>
        </is>
      </c>
    </row>
    <row r="32">
      <c r="A32" s="22" t="inlineStr">
        <is>
          <t>7. 渗透测试费用另计，详见"渗透测试报价"工作表</t>
        </is>
      </c>
    </row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 ht="15" customHeight="1">
      <c r="D52" s="23" t="inlineStr">
        <is>
          <t>关键洞察: 安全服务占总费用约60%，且UAT环境必须保持100%安全配置以满足渗透测试有效性要求。基础设施在UAT中可缩减至35%。</t>
        </is>
      </c>
    </row>
  </sheetData>
  <mergeCells count="13">
    <mergeCell ref="A32:G32"/>
    <mergeCell ref="A13:G13"/>
    <mergeCell ref="A1:G1"/>
    <mergeCell ref="A27:G27"/>
    <mergeCell ref="A31:G31"/>
    <mergeCell ref="D52:G52"/>
    <mergeCell ref="A26:G26"/>
    <mergeCell ref="A30:G30"/>
    <mergeCell ref="A2:G2"/>
    <mergeCell ref="A29:G29"/>
    <mergeCell ref="A4:C4"/>
    <mergeCell ref="A19:G19"/>
    <mergeCell ref="A28:G28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12" customWidth="1" min="3" max="3"/>
    <col width="10" customWidth="1" min="4" max="4"/>
    <col width="16" customWidth="1" min="5" max="5"/>
    <col width="10" customWidth="1" min="6" max="6"/>
    <col width="45" customWidth="1" min="7" max="7"/>
  </cols>
  <sheetData>
    <row r="1">
      <c r="A1" s="1" t="inlineStr">
        <is>
          <t>AWS安全服务报价明细 - Middle East Region (me-south-1)</t>
        </is>
      </c>
    </row>
    <row r="3">
      <c r="A3" s="10" t="inlineStr">
        <is>
          <t>服务名称</t>
        </is>
      </c>
      <c r="B3" s="10" t="inlineStr">
        <is>
          <t>计费单位</t>
        </is>
      </c>
      <c r="C3" s="10" t="inlineStr">
        <is>
          <t>单价(USD)</t>
        </is>
      </c>
      <c r="D3" s="10" t="inlineStr">
        <is>
          <t>预估用量</t>
        </is>
      </c>
      <c r="E3" s="10" t="inlineStr">
        <is>
          <t>月费估算(USD)</t>
        </is>
      </c>
      <c r="F3" s="10" t="inlineStr">
        <is>
          <t>必要性</t>
        </is>
      </c>
      <c r="G3" s="10" t="inlineStr">
        <is>
          <t>说明</t>
        </is>
      </c>
    </row>
    <row r="4">
      <c r="A4" s="5" t="inlineStr">
        <is>
          <t>AWS Shield Advanced</t>
        </is>
      </c>
      <c r="B4" s="5" t="inlineStr">
        <is>
          <t>月订阅/组织</t>
        </is>
      </c>
      <c r="C4" s="24" t="n">
        <v>3000</v>
      </c>
      <c r="D4" s="25" t="n">
        <v>1</v>
      </c>
      <c r="E4" s="11">
        <f>C4*D4</f>
        <v/>
      </c>
      <c r="F4" s="5" t="inlineStr">
        <is>
          <t>必须</t>
        </is>
      </c>
      <c r="G4" s="13" t="inlineStr">
        <is>
          <t>DDoS防护，含WAF费用，全局唯一费用</t>
        </is>
      </c>
    </row>
    <row r="5">
      <c r="A5" s="5" t="inlineStr">
        <is>
          <t>AWS WAF</t>
        </is>
      </c>
      <c r="B5" s="5" t="inlineStr">
        <is>
          <t>Web ACL+规则+请求</t>
        </is>
      </c>
      <c r="C5" s="24" t="n">
        <v>5</v>
      </c>
      <c r="D5" s="25" t="n">
        <v>1</v>
      </c>
      <c r="E5" s="11" t="n">
        <v>30</v>
      </c>
      <c r="F5" s="5" t="inlineStr">
        <is>
          <t>必须</t>
        </is>
      </c>
      <c r="G5" s="13" t="inlineStr">
        <is>
          <t>1 ACL + 19规则 + 10M请求/月; $5+$19+$6</t>
        </is>
      </c>
    </row>
    <row r="6">
      <c r="A6" s="5" t="inlineStr">
        <is>
          <t>Amazon GuardDuty</t>
        </is>
      </c>
      <c r="B6" s="5" t="inlineStr">
        <is>
          <t>百万事件</t>
        </is>
      </c>
      <c r="C6" s="24" t="n">
        <v>4</v>
      </c>
      <c r="D6" s="25" t="n">
        <v>1</v>
      </c>
      <c r="E6" s="11" t="n">
        <v>350</v>
      </c>
      <c r="F6" s="5" t="inlineStr">
        <is>
          <t>必须</t>
        </is>
      </c>
      <c r="G6" s="13" t="inlineStr">
        <is>
          <t>CT事件+VPC Flow+EKS审计+Runtime监控</t>
        </is>
      </c>
    </row>
    <row r="7">
      <c r="A7" s="5" t="inlineStr">
        <is>
          <t>AWS Network Firewall</t>
        </is>
      </c>
      <c r="B7" s="5" t="inlineStr">
        <is>
          <t>端点/小时</t>
        </is>
      </c>
      <c r="C7" s="24" t="n">
        <v>0.395</v>
      </c>
      <c r="D7" s="25" t="n">
        <v>2</v>
      </c>
      <c r="E7" s="11">
        <f>C7*D7*720</f>
        <v/>
      </c>
      <c r="F7" s="5" t="inlineStr">
        <is>
          <t>必须</t>
        </is>
      </c>
      <c r="G7" s="13" t="inlineStr">
        <is>
          <t>2个端点(Multi-AZ) + $0.065/GB处理费</t>
        </is>
      </c>
    </row>
    <row r="8">
      <c r="A8" s="5" t="inlineStr">
        <is>
          <t>AWS CloudHSM</t>
        </is>
      </c>
      <c r="B8" s="5" t="inlineStr">
        <is>
          <t>HSM实例/小时</t>
        </is>
      </c>
      <c r="C8" s="24" t="n">
        <v>1.88</v>
      </c>
      <c r="D8" s="25" t="n">
        <v>2</v>
      </c>
      <c r="E8" s="11">
        <f>C8*D8*720</f>
        <v/>
      </c>
      <c r="F8" s="5" t="inlineStr">
        <is>
          <t>强烈推荐</t>
        </is>
      </c>
      <c r="G8" s="13" t="inlineStr">
        <is>
          <t>2台HSM实现HA(跨AZ); ME区域约$1.88/hr</t>
        </is>
      </c>
    </row>
    <row r="9">
      <c r="A9" s="5" t="inlineStr">
        <is>
          <t>AWS KMS</t>
        </is>
      </c>
      <c r="B9" s="5" t="inlineStr">
        <is>
          <t>密钥/月</t>
        </is>
      </c>
      <c r="C9" s="24" t="n">
        <v>1</v>
      </c>
      <c r="D9" s="25" t="n">
        <v>10</v>
      </c>
      <c r="E9" s="11">
        <f>C9*D9+3</f>
        <v/>
      </c>
      <c r="F9" s="5" t="inlineStr">
        <is>
          <t>必须</t>
        </is>
      </c>
      <c r="G9" s="13" t="inlineStr">
        <is>
          <t>10个CMK + API调用费约$3/月</t>
        </is>
      </c>
    </row>
    <row r="10">
      <c r="A10" s="5" t="inlineStr">
        <is>
          <t>AWS Secrets Manager</t>
        </is>
      </c>
      <c r="B10" s="5" t="inlineStr">
        <is>
          <t>密钥/月</t>
        </is>
      </c>
      <c r="C10" s="24" t="n">
        <v>0.4</v>
      </c>
      <c r="D10" s="25" t="n">
        <v>15</v>
      </c>
      <c r="E10" s="11">
        <f>C10*D10</f>
        <v/>
      </c>
      <c r="F10" s="5" t="inlineStr">
        <is>
          <t>必须</t>
        </is>
      </c>
      <c r="G10" s="13" t="inlineStr">
        <is>
          <t>15个密钥 + API调用费</t>
        </is>
      </c>
    </row>
    <row r="11">
      <c r="A11" s="5" t="inlineStr">
        <is>
          <t>Amazon Inspector</t>
        </is>
      </c>
      <c r="B11" s="5" t="inlineStr">
        <is>
          <t>实例/月</t>
        </is>
      </c>
      <c r="C11" s="24" t="n">
        <v>1.258</v>
      </c>
      <c r="D11" s="25" t="n">
        <v>10</v>
      </c>
      <c r="E11" s="11">
        <f>C11*D11</f>
        <v/>
      </c>
      <c r="F11" s="5" t="inlineStr">
        <is>
          <t>推荐</t>
        </is>
      </c>
      <c r="G11" s="13" t="inlineStr">
        <is>
          <t>10个EC2实例持续扫描</t>
        </is>
      </c>
    </row>
    <row r="12">
      <c r="A12" s="5" t="inlineStr">
        <is>
          <t>AWS Security Hub</t>
        </is>
      </c>
      <c r="B12" s="5" t="inlineStr">
        <is>
          <t>资源单位/月</t>
        </is>
      </c>
      <c r="C12" s="24" t="n">
        <v>0.01</v>
      </c>
      <c r="D12" s="25" t="n">
        <v>50</v>
      </c>
      <c r="E12" s="11">
        <f>C12*D12</f>
        <v/>
      </c>
      <c r="F12" s="5" t="inlineStr">
        <is>
          <t>必须</t>
        </is>
      </c>
      <c r="G12" s="13" t="inlineStr">
        <is>
          <t>Essentials Plan; 聚合安全发现</t>
        </is>
      </c>
    </row>
    <row r="13">
      <c r="A13" s="5" t="inlineStr">
        <is>
          <t>AWS Config</t>
        </is>
      </c>
      <c r="B13" s="5" t="inlineStr">
        <is>
          <t>配置项</t>
        </is>
      </c>
      <c r="C13" s="24" t="n">
        <v>0.003</v>
      </c>
      <c r="D13" s="25" t="n">
        <v>10000</v>
      </c>
      <c r="E13" s="11">
        <f>C13*D13+50</f>
        <v/>
      </c>
      <c r="F13" s="5" t="inlineStr">
        <is>
          <t>必须</t>
        </is>
      </c>
      <c r="G13" s="13" t="inlineStr">
        <is>
          <t>10K配置项 + 50K规则评估($50)</t>
        </is>
      </c>
    </row>
    <row r="14">
      <c r="A14" s="5" t="inlineStr">
        <is>
          <t>AWS CloudTrail</t>
        </is>
      </c>
      <c r="B14" s="5" t="inlineStr">
        <is>
          <t>数据事件/100K</t>
        </is>
      </c>
      <c r="C14" s="24" t="n">
        <v>0.1</v>
      </c>
      <c r="D14" s="25" t="n">
        <v>500</v>
      </c>
      <c r="E14" s="11">
        <f>C14*D14</f>
        <v/>
      </c>
      <c r="F14" s="5" t="inlineStr">
        <is>
          <t>必须</t>
        </is>
      </c>
      <c r="G14" s="13" t="inlineStr">
        <is>
          <t>管理事件免费; 数据事件按量</t>
        </is>
      </c>
    </row>
    <row r="15">
      <c r="A15" s="5" t="inlineStr">
        <is>
          <t>Amazon CloudWatch</t>
        </is>
      </c>
      <c r="B15" s="5" t="inlineStr">
        <is>
          <t>自定义指标+日志</t>
        </is>
      </c>
      <c r="C15" s="24" t="n">
        <v>0.3</v>
      </c>
      <c r="D15" s="25" t="n">
        <v>50</v>
      </c>
      <c r="E15" s="11">
        <f>C15*D15+30</f>
        <v/>
      </c>
      <c r="F15" s="5" t="inlineStr">
        <is>
          <t>必须</t>
        </is>
      </c>
      <c r="G15" s="13" t="inlineStr">
        <is>
          <t>50个自定义指标 + 日志存储$30</t>
        </is>
      </c>
    </row>
    <row r="16">
      <c r="A16" s="5" t="inlineStr">
        <is>
          <t>AWS Audit Manager</t>
        </is>
      </c>
      <c r="B16" s="5" t="inlineStr">
        <is>
          <t>评估/月</t>
        </is>
      </c>
      <c r="C16" s="24" t="n">
        <v>0</v>
      </c>
      <c r="D16" s="25" t="n">
        <v>1</v>
      </c>
      <c r="E16" s="11" t="n">
        <v>0</v>
      </c>
      <c r="F16" s="5" t="inlineStr">
        <is>
          <t>推荐</t>
        </is>
      </c>
      <c r="G16" s="13" t="inlineStr">
        <is>
          <t>PCI DSS v4框架; 按评估收费</t>
        </is>
      </c>
    </row>
    <row r="17">
      <c r="A17" s="5" t="inlineStr">
        <is>
          <t>AWS Firewall Manager</t>
        </is>
      </c>
      <c r="B17" s="5" t="inlineStr">
        <is>
          <t>策略/区域</t>
        </is>
      </c>
      <c r="C17" s="24" t="n">
        <v>100</v>
      </c>
      <c r="D17" s="25" t="n">
        <v>1</v>
      </c>
      <c r="E17" s="11" t="n">
        <v>100</v>
      </c>
      <c r="F17" s="5" t="inlineStr">
        <is>
          <t>推荐</t>
        </is>
      </c>
      <c r="G17" s="13" t="inlineStr">
        <is>
          <t>集中管理WAF/SG/NF策略</t>
        </is>
      </c>
    </row>
    <row r="18">
      <c r="A18" s="15" t="inlineStr">
        <is>
          <t>安全服务月费合计</t>
        </is>
      </c>
      <c r="B18" s="26" t="n"/>
      <c r="C18" s="26" t="n"/>
      <c r="D18" s="26" t="n"/>
      <c r="E18" s="16">
        <f>SUM(E4:E17)</f>
        <v/>
      </c>
      <c r="F18" s="26" t="n"/>
      <c r="G18" s="26" t="n"/>
    </row>
    <row r="19">
      <c r="A19" s="27" t="inlineStr">
        <is>
          <t>安全服务年费合计</t>
        </is>
      </c>
      <c r="E19" s="28">
        <f>E18*12</f>
        <v/>
      </c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 ht="30" customHeight="1">
      <c r="A44" s="23" t="inlineStr">
        <is>
          <t>关键洞察: Shield Advanced($3,000/月)和CloudHSM($2,708/月)占安全服务总费用的72%以上。Shield Advanced为全局费用(per payer account)，多环境不重复计费。</t>
        </is>
      </c>
    </row>
  </sheetData>
  <mergeCells count="2">
    <mergeCell ref="A44:E44"/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14" customWidth="1" min="3" max="3"/>
    <col width="8" customWidth="1" min="4" max="4"/>
    <col width="16" customWidth="1" min="5" max="5"/>
    <col width="25" customWidth="1" min="6" max="6"/>
    <col width="30" customWidth="1" min="7" max="7"/>
  </cols>
  <sheetData>
    <row r="1">
      <c r="A1" s="1" t="inlineStr">
        <is>
          <t>AWS基础设施报价明细 - Middle East Region (me-south-1)</t>
        </is>
      </c>
    </row>
    <row r="2">
      <c r="A2" s="2" t="inlineStr">
        <is>
          <t>高可用Crypto Exchange工作负载配置</t>
        </is>
      </c>
    </row>
    <row r="4">
      <c r="A4" s="10" t="inlineStr">
        <is>
          <t>服务</t>
        </is>
      </c>
      <c r="B4" s="10" t="inlineStr">
        <is>
          <t>实例/配置</t>
        </is>
      </c>
      <c r="C4" s="10" t="inlineStr">
        <is>
          <t>单价(USD/hr)</t>
        </is>
      </c>
      <c r="D4" s="10" t="inlineStr">
        <is>
          <t>数量</t>
        </is>
      </c>
      <c r="E4" s="10" t="inlineStr">
        <is>
          <t>月费估算(USD)</t>
        </is>
      </c>
      <c r="F4" s="10" t="inlineStr">
        <is>
          <t>用途</t>
        </is>
      </c>
      <c r="G4" s="10" t="inlineStr">
        <is>
          <t>优化建议</t>
        </is>
      </c>
    </row>
    <row r="5">
      <c r="A5" s="5" t="inlineStr">
        <is>
          <t>EKS Cluster</t>
        </is>
      </c>
      <c r="B5" s="5" t="inlineStr">
        <is>
          <t>标准支持</t>
        </is>
      </c>
      <c r="C5" s="24" t="n">
        <v>0.1</v>
      </c>
      <c r="D5" s="25" t="n">
        <v>2</v>
      </c>
      <c r="E5" s="11">
        <f>C5*D5*720</f>
        <v/>
      </c>
      <c r="F5" s="5" t="inlineStr">
        <is>
          <t>容器编排(Prod+Staging)</t>
        </is>
      </c>
      <c r="G5" s="13" t="inlineStr">
        <is>
          <t>Extended Support: $0.60/hr</t>
        </is>
      </c>
    </row>
    <row r="6">
      <c r="A6" s="5" t="inlineStr">
        <is>
          <t>EC2 Worker Nodes</t>
        </is>
      </c>
      <c r="B6" s="5" t="inlineStr">
        <is>
          <t>m5.xlarge (4vCPU/16GB)</t>
        </is>
      </c>
      <c r="C6" s="24" t="n">
        <v>0.235</v>
      </c>
      <c r="D6" s="25" t="n">
        <v>6</v>
      </c>
      <c r="E6" s="11">
        <f>C6*D6*720</f>
        <v/>
      </c>
      <c r="F6" s="5" t="inlineStr">
        <is>
          <t>EKS工作节点</t>
        </is>
      </c>
      <c r="G6" s="13" t="inlineStr">
        <is>
          <t>1年RI可节省37-41%</t>
        </is>
      </c>
    </row>
    <row r="7">
      <c r="A7" s="5" t="inlineStr">
        <is>
          <t>EC2 Worker Nodes</t>
        </is>
      </c>
      <c r="B7" s="5" t="inlineStr">
        <is>
          <t>m5.2xlarge (8vCPU/32GB)</t>
        </is>
      </c>
      <c r="C7" s="24" t="n">
        <v>0.471</v>
      </c>
      <c r="D7" s="25" t="n">
        <v>3</v>
      </c>
      <c r="E7" s="11">
        <f>C7*D7*720</f>
        <v/>
      </c>
      <c r="F7" s="5" t="inlineStr">
        <is>
          <t>重负载工作节点</t>
        </is>
      </c>
      <c r="G7" s="13" t="inlineStr">
        <is>
          <t>Graviton可节省30%</t>
        </is>
      </c>
    </row>
    <row r="8">
      <c r="A8" s="5" t="inlineStr">
        <is>
          <t>Aurora PostgreSQL</t>
        </is>
      </c>
      <c r="B8" s="5" t="inlineStr">
        <is>
          <t>db.r5.2xlarge Multi-AZ</t>
        </is>
      </c>
      <c r="C8" s="24" t="n">
        <v>0.68</v>
      </c>
      <c r="D8" s="25" t="n">
        <v>1</v>
      </c>
      <c r="E8" s="11">
        <f>C8*D8*720</f>
        <v/>
      </c>
      <c r="F8" s="5" t="inlineStr">
        <is>
          <t>交易数据库</t>
        </is>
      </c>
      <c r="G8" s="13" t="inlineStr">
        <is>
          <t>Multi-AZ自动故障转移</t>
        </is>
      </c>
    </row>
    <row r="9">
      <c r="A9" s="5" t="inlineStr">
        <is>
          <t>Aurora Storage</t>
        </is>
      </c>
      <c r="B9" s="5" t="inlineStr">
        <is>
          <t>500GB + I/O</t>
        </is>
      </c>
      <c r="C9" s="24" t="n">
        <v>0.1</v>
      </c>
      <c r="D9" s="25" t="n">
        <v>500</v>
      </c>
      <c r="E9" s="11">
        <f>C9*D9</f>
        <v/>
      </c>
      <c r="F9" s="5" t="inlineStr">
        <is>
          <t>数据库存储</t>
        </is>
      </c>
      <c r="G9" s="13" t="inlineStr">
        <is>
          <t>按实际使用量计费</t>
        </is>
      </c>
    </row>
    <row r="10">
      <c r="A10" s="5" t="inlineStr">
        <is>
          <t>ElastiCache Redis</t>
        </is>
      </c>
      <c r="B10" s="5" t="inlineStr">
        <is>
          <t>cache.m5.xlarge 集群模式</t>
        </is>
      </c>
      <c r="C10" s="24" t="n">
        <v>0.34</v>
      </c>
      <c r="D10" s="25" t="n">
        <v>3</v>
      </c>
      <c r="E10" s="11">
        <f>C10*D10*720</f>
        <v/>
      </c>
      <c r="F10" s="5" t="inlineStr">
        <is>
          <t>会话管理/缓存/订单簿</t>
        </is>
      </c>
      <c r="G10" s="13" t="inlineStr">
        <is>
          <t>1主+2副本</t>
        </is>
      </c>
    </row>
    <row r="11">
      <c r="A11" s="5" t="inlineStr">
        <is>
          <t>ALB</t>
        </is>
      </c>
      <c r="B11" s="5" t="inlineStr">
        <is>
          <t>2个ALB (API+Web)</t>
        </is>
      </c>
      <c r="C11" s="24" t="n">
        <v>0.03</v>
      </c>
      <c r="D11" s="25" t="n">
        <v>2</v>
      </c>
      <c r="E11" s="11">
        <f>C11*D11*720+50</f>
        <v/>
      </c>
      <c r="F11" s="5" t="inlineStr">
        <is>
          <t>HTTP/HTTPS负载均衡</t>
        </is>
      </c>
      <c r="G11" s="13" t="inlineStr">
        <is>
          <t>+LCU费用约$50</t>
        </is>
      </c>
    </row>
    <row r="12">
      <c r="A12" s="5" t="inlineStr">
        <is>
          <t>NLB</t>
        </is>
      </c>
      <c r="B12" s="5" t="inlineStr">
        <is>
          <t>1个NLB (WebSocket/FIX)</t>
        </is>
      </c>
      <c r="C12" s="24" t="n">
        <v>0.03</v>
      </c>
      <c r="D12" s="25" t="n">
        <v>1</v>
      </c>
      <c r="E12" s="11">
        <f>C12*D12*720+20</f>
        <v/>
      </c>
      <c r="F12" s="5" t="inlineStr">
        <is>
          <t>TCP/WebSocket连接</t>
        </is>
      </c>
      <c r="G12" s="13" t="inlineStr">
        <is>
          <t>+NLCU费用约$20</t>
        </is>
      </c>
    </row>
    <row r="13">
      <c r="A13" s="5" t="inlineStr">
        <is>
          <t>CloudFront</t>
        </is>
      </c>
      <c r="B13" s="5" t="inlineStr">
        <is>
          <t>5TB/月 ME分发</t>
        </is>
      </c>
      <c r="C13" s="24" t="n">
        <v>0.11</v>
      </c>
      <c r="D13" s="25" t="n">
        <v>4000</v>
      </c>
      <c r="E13" s="11">
        <f>C13*D13</f>
        <v/>
      </c>
      <c r="F13" s="5" t="inlineStr">
        <is>
          <t>CDN全球加速</t>
        </is>
      </c>
      <c r="G13" s="13" t="inlineStr">
        <is>
          <t>首1TB免费</t>
        </is>
      </c>
    </row>
    <row r="14">
      <c r="A14" s="5" t="inlineStr">
        <is>
          <t>S3 Storage</t>
        </is>
      </c>
      <c r="B14" s="5" t="inlineStr">
        <is>
          <t>1TB Standard</t>
        </is>
      </c>
      <c r="C14" s="24" t="n">
        <v>0.027</v>
      </c>
      <c r="D14" s="25" t="n">
        <v>1000</v>
      </c>
      <c r="E14" s="11">
        <f>C14*D14</f>
        <v/>
      </c>
      <c r="F14" s="5" t="inlineStr">
        <is>
          <t>对象存储/日志/备份</t>
        </is>
      </c>
      <c r="G14" s="13" t="inlineStr">
        <is>
          <t>+ 请求费用</t>
        </is>
      </c>
    </row>
    <row r="15">
      <c r="A15" s="5" t="inlineStr">
        <is>
          <t>NAT Gateway</t>
        </is>
      </c>
      <c r="B15" s="5" t="inlineStr">
        <is>
          <t>2个NAT GW + 500GB</t>
        </is>
      </c>
      <c r="C15" s="24" t="n">
        <v>0.055</v>
      </c>
      <c r="D15" s="25" t="n">
        <v>2</v>
      </c>
      <c r="E15" s="11">
        <f>C15*D15*720+500*0.055</f>
        <v/>
      </c>
      <c r="F15" s="5" t="inlineStr">
        <is>
          <t>私有子网出站</t>
        </is>
      </c>
      <c r="G15" s="13" t="inlineStr">
        <is>
          <t>与NF链式部署可免费</t>
        </is>
      </c>
    </row>
    <row r="16">
      <c r="A16" s="5" t="inlineStr">
        <is>
          <t>Data Transfer OUT</t>
        </is>
      </c>
      <c r="B16" s="5" t="inlineStr">
        <is>
          <t>2TB/月 to Internet</t>
        </is>
      </c>
      <c r="C16" s="24" t="n">
        <v>0.11</v>
      </c>
      <c r="D16" s="25" t="n">
        <v>2000</v>
      </c>
      <c r="E16" s="11">
        <f>C16*D16</f>
        <v/>
      </c>
      <c r="F16" s="5" t="inlineStr">
        <is>
          <t>出站数据传输</t>
        </is>
      </c>
      <c r="G16" s="13" t="inlineStr">
        <is>
          <t>入站免费</t>
        </is>
      </c>
    </row>
    <row r="17">
      <c r="A17" s="15" t="inlineStr">
        <is>
          <t>基础设施月费合计</t>
        </is>
      </c>
      <c r="B17" s="26" t="n"/>
      <c r="C17" s="26" t="n"/>
      <c r="D17" s="26" t="n"/>
      <c r="E17" s="16">
        <f>SUM(E5:E16)</f>
        <v/>
      </c>
      <c r="F17" s="26" t="n"/>
      <c r="G17" s="26" t="n"/>
    </row>
    <row r="19">
      <c r="A19" s="9" t="inlineStr">
        <is>
          <t>高可用生产环境估算</t>
        </is>
      </c>
    </row>
    <row r="20">
      <c r="A20" t="inlineStr">
        <is>
          <t>基础配置月费</t>
        </is>
      </c>
      <c r="E20" s="14">
        <f>E17</f>
        <v/>
      </c>
    </row>
    <row r="21">
      <c r="A21" t="inlineStr">
        <is>
          <t>完整HA生产环境(含冗余)</t>
        </is>
      </c>
      <c r="E21" s="29">
        <f>E17*2.5</f>
        <v/>
      </c>
      <c r="G21" t="inlineStr">
        <is>
          <t>含更多副本、更大实例、额外冗余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42" customWidth="1" min="2" max="2"/>
    <col width="42" customWidth="1" min="3" max="3"/>
    <col width="12" customWidth="1" min="4" max="4"/>
    <col width="22" customWidth="1" min="5" max="5"/>
  </cols>
  <sheetData>
    <row r="1">
      <c r="A1" s="1" t="inlineStr">
        <is>
          <t>Production vs UAT 环境配置对比</t>
        </is>
      </c>
    </row>
    <row r="2">
      <c r="A2" s="30" t="inlineStr">
        <is>
          <t>渗透测试有效性要求: 安全服务必须100%一致; 基础设施可缩减</t>
        </is>
      </c>
    </row>
    <row r="4">
      <c r="A4" s="10" t="inlineStr">
        <is>
          <t>服务类别</t>
        </is>
      </c>
      <c r="B4" s="10" t="inlineStr">
        <is>
          <t>Production配置</t>
        </is>
      </c>
      <c r="C4" s="10" t="inlineStr">
        <is>
          <t>UAT配置</t>
        </is>
      </c>
      <c r="D4" s="10" t="inlineStr">
        <is>
          <t>成本比例</t>
        </is>
      </c>
      <c r="E4" s="10" t="inlineStr">
        <is>
          <t>说明</t>
        </is>
      </c>
    </row>
    <row r="5">
      <c r="A5" s="5" t="inlineStr">
        <is>
          <t>Compute (EC2)</t>
        </is>
      </c>
      <c r="B5" s="5" t="inlineStr">
        <is>
          <t>z1d/c6i.8xlarge, Multi-AZ, Auto Scaling (min 6节点)</t>
        </is>
      </c>
      <c r="C5" s="5" t="inlineStr">
        <is>
          <t>c6i.2xlarge或Graviton, Single-AZ, min 2节点, 非工作时间关闭</t>
        </is>
      </c>
      <c r="D5" s="31" t="inlineStr">
        <is>
          <t>20-30%</t>
        </is>
      </c>
      <c r="E5" s="13" t="inlineStr">
        <is>
          <t>架构拓扑一致，规模缩减</t>
        </is>
      </c>
    </row>
    <row r="6">
      <c r="A6" s="5" t="inlineStr">
        <is>
          <t>Database (Aurora/RDS)</t>
        </is>
      </c>
      <c r="B6" s="5" t="inlineStr">
        <is>
          <t>Multi-AZ, r6g.4xlarge, 读副本, Provisioned IOPS</t>
        </is>
      </c>
      <c r="C6" s="5" t="inlineStr">
        <is>
          <t>Single-AZ, r6g.xlarge, 无读副本, GP3存储</t>
        </is>
      </c>
      <c r="D6" s="31" t="inlineStr">
        <is>
          <t>25-35%</t>
        </is>
      </c>
      <c r="E6" s="13" t="inlineStr">
        <is>
          <t>数据结构一致</t>
        </is>
      </c>
    </row>
    <row r="7">
      <c r="A7" s="5" t="inlineStr">
        <is>
          <t>Matching Engine</t>
        </is>
      </c>
      <c r="B7" s="5" t="inlineStr">
        <is>
          <t>EC2 Cluster Placement Group, z1d.3xlarge, NVMe</t>
        </is>
      </c>
      <c r="C7" s="5" t="inlineStr">
        <is>
          <t>Cluster Placement Group(同拓扑), c6i.xlarge</t>
        </is>
      </c>
      <c r="D7" s="31" t="inlineStr">
        <is>
          <t>30-40%</t>
        </is>
      </c>
      <c r="E7" s="13" t="inlineStr">
        <is>
          <t>拓扑一致，实例缩小</t>
        </is>
      </c>
    </row>
    <row r="8">
      <c r="A8" s="5" t="inlineStr">
        <is>
          <t>Load Balancing (ALB/NLB)</t>
        </is>
      </c>
      <c r="B8" s="5" t="inlineStr">
        <is>
          <t>Multi-AZ, 高吞吐</t>
        </is>
      </c>
      <c r="C8" s="5" t="inlineStr">
        <is>
          <t>Single-AZ, 低容量</t>
        </is>
      </c>
      <c r="D8" s="31" t="inlineStr">
        <is>
          <t>40-50%</t>
        </is>
      </c>
      <c r="E8" s="13" t="inlineStr"/>
    </row>
    <row r="9">
      <c r="A9" s="32" t="inlineStr">
        <is>
          <t>AWS WAF</t>
        </is>
      </c>
      <c r="B9" s="32" t="inlineStr">
        <is>
          <t>完整规则集(OWASP, Bot Control, Rate Limiting)</t>
        </is>
      </c>
      <c r="C9" s="32" t="inlineStr">
        <is>
          <t>完整规则集 - 与Production完全一致</t>
        </is>
      </c>
      <c r="D9" s="33" t="inlineStr">
        <is>
          <t>100%</t>
        </is>
      </c>
      <c r="E9" s="34" t="inlineStr">
        <is>
          <t>渗透测试必须</t>
        </is>
      </c>
    </row>
    <row r="10">
      <c r="A10" s="32" t="inlineStr">
        <is>
          <t>GuardDuty</t>
        </is>
      </c>
      <c r="B10" s="32" t="inlineStr">
        <is>
          <t>所有保护计划启用</t>
        </is>
      </c>
      <c r="C10" s="32" t="inlineStr">
        <is>
          <t>所有保护计划启用</t>
        </is>
      </c>
      <c r="D10" s="33" t="inlineStr">
        <is>
          <t>100%</t>
        </is>
      </c>
      <c r="E10" s="34" t="inlineStr">
        <is>
          <t>渗透测试必须</t>
        </is>
      </c>
    </row>
    <row r="11">
      <c r="A11" s="32" t="inlineStr">
        <is>
          <t>Security Hub</t>
        </is>
      </c>
      <c r="B11" s="32" t="inlineStr">
        <is>
          <t>完整合规标准</t>
        </is>
      </c>
      <c r="C11" s="32" t="inlineStr">
        <is>
          <t>完整合规标准</t>
        </is>
      </c>
      <c r="D11" s="33" t="inlineStr">
        <is>
          <t>100%</t>
        </is>
      </c>
      <c r="E11" s="34" t="inlineStr">
        <is>
          <t>渗透测试必须</t>
        </is>
      </c>
    </row>
    <row r="12">
      <c r="A12" s="32" t="inlineStr">
        <is>
          <t>Shield Advanced</t>
        </is>
      </c>
      <c r="B12" s="32" t="inlineStr">
        <is>
          <t>所有端点启用</t>
        </is>
      </c>
      <c r="C12" s="32" t="inlineStr">
        <is>
          <t>所有端点启用</t>
        </is>
      </c>
      <c r="D12" s="33" t="inlineStr">
        <is>
          <t>100%</t>
        </is>
      </c>
      <c r="E12" s="34" t="inlineStr">
        <is>
          <t>全局费用，不额外收费</t>
        </is>
      </c>
    </row>
    <row r="13">
      <c r="A13" s="32" t="inlineStr">
        <is>
          <t>KMS/Encryption</t>
        </is>
      </c>
      <c r="B13" s="32" t="inlineStr">
        <is>
          <t>CMKs, 信封加密</t>
        </is>
      </c>
      <c r="C13" s="32" t="inlineStr">
        <is>
          <t>完全一致的加密配置</t>
        </is>
      </c>
      <c r="D13" s="33" t="inlineStr">
        <is>
          <t>100%</t>
        </is>
      </c>
      <c r="E13" s="34" t="inlineStr">
        <is>
          <t>渗透测试必须</t>
        </is>
      </c>
    </row>
    <row r="14">
      <c r="A14" s="5" t="inlineStr">
        <is>
          <t>Network (VPC/SGs/NACLs)</t>
        </is>
      </c>
      <c r="B14" s="5" t="inlineStr">
        <is>
          <t>Multi-AZ, Transit Gateway, 完整分段</t>
        </is>
      </c>
      <c r="C14" s="5" t="inlineStr">
        <is>
          <t>同拓扑, Single-AZ, 相同安全组</t>
        </is>
      </c>
      <c r="D14" s="31" t="inlineStr">
        <is>
          <t>50-60%</t>
        </is>
      </c>
      <c r="E14" s="13" t="inlineStr">
        <is>
          <t>网络隔离必须一致</t>
        </is>
      </c>
    </row>
    <row r="15">
      <c r="A15" s="5" t="inlineStr">
        <is>
          <t>Monitoring (CloudWatch)</t>
        </is>
      </c>
      <c r="B15" s="5" t="inlineStr">
        <is>
          <t>详细监控, 自定义指标, 告警</t>
        </is>
      </c>
      <c r="C15" s="5" t="inlineStr">
        <is>
          <t>基础监控, 减少保留期</t>
        </is>
      </c>
      <c r="D15" s="31" t="inlineStr">
        <is>
          <t>30-40%</t>
        </is>
      </c>
      <c r="E15" s="13" t="inlineStr"/>
    </row>
    <row r="16">
      <c r="A16" s="5" t="inlineStr">
        <is>
          <t>Storage (S3/EBS)</t>
        </is>
      </c>
      <c r="B16" s="5" t="inlineStr">
        <is>
          <t>gp3 Provisioned IOPS, 跨区域复制</t>
        </is>
      </c>
      <c r="C16" s="5" t="inlineStr">
        <is>
          <t>gp3标准, 无复制</t>
        </is>
      </c>
      <c r="D16" s="31" t="inlineStr">
        <is>
          <t>20-30%</t>
        </is>
      </c>
      <c r="E16" s="13" t="inlineStr"/>
    </row>
    <row r="17">
      <c r="A17" s="5" t="inlineStr">
        <is>
          <t>Message Queue (MSK/SQS)</t>
        </is>
      </c>
      <c r="B17" s="5" t="inlineStr">
        <is>
          <t>Multi-AZ Kafka集群, 高吞吐</t>
        </is>
      </c>
      <c r="C17" s="5" t="inlineStr">
        <is>
          <t>单Broker, 减少分区</t>
        </is>
      </c>
      <c r="D17" s="31" t="inlineStr">
        <is>
          <t>25-35%</t>
        </is>
      </c>
      <c r="E17" s="13" t="inlineStr"/>
    </row>
    <row r="18">
      <c r="A18" s="5" t="inlineStr">
        <is>
          <t>CI/CD &amp; Testing</t>
        </is>
      </c>
      <c r="B18" s="5" t="inlineStr">
        <is>
          <t>N/A (独立Pipeline)</t>
        </is>
      </c>
      <c r="C18" s="5" t="inlineStr">
        <is>
          <t>Spot实例用于负载测试</t>
        </is>
      </c>
      <c r="D18" s="31" t="inlineStr">
        <is>
          <t>15-25%</t>
        </is>
      </c>
      <c r="E18" s="13" t="inlineStr"/>
    </row>
    <row r="19">
      <c r="A19" s="15" t="inlineStr">
        <is>
          <t>整体估算</t>
        </is>
      </c>
      <c r="B19" s="15" t="inlineStr">
        <is>
          <t>100% (基准)</t>
        </is>
      </c>
      <c r="C19" s="15" t="inlineStr">
        <is>
          <t>约30-40% of Production</t>
        </is>
      </c>
      <c r="D19" s="35" t="inlineStr">
        <is>
          <t>30-40%</t>
        </is>
      </c>
      <c r="E19" s="15" t="inlineStr">
        <is>
          <t>综合比例</t>
        </is>
      </c>
    </row>
    <row r="22">
      <c r="A22" s="9" t="inlineStr">
        <is>
          <t>多环境成本计算</t>
        </is>
      </c>
    </row>
    <row r="23">
      <c r="A23" t="inlineStr">
        <is>
          <t>单Production环境月费</t>
        </is>
      </c>
      <c r="B23" s="36">
        <f>'总报价汇总'!B17</f>
        <v/>
      </c>
    </row>
    <row r="24">
      <c r="A24" t="inlineStr">
        <is>
          <t>2×Production月费</t>
        </is>
      </c>
      <c r="B24" s="36">
        <f>'总报价汇总'!C17</f>
        <v/>
      </c>
    </row>
    <row r="25">
      <c r="A25" t="inlineStr">
        <is>
          <t>1×UAT月费</t>
        </is>
      </c>
      <c r="B25" s="36">
        <f>'总报价汇总'!D17</f>
        <v/>
      </c>
    </row>
    <row r="26">
      <c r="A26" t="inlineStr">
        <is>
          <t>总月费 (2Prod + 1UAT)</t>
        </is>
      </c>
      <c r="B26" s="37">
        <f>'总报价汇总'!E17</f>
        <v/>
      </c>
    </row>
    <row r="27">
      <c r="A27" t="inlineStr">
        <is>
          <t>倍数 (vs 单环境)</t>
        </is>
      </c>
      <c r="B27" s="38">
        <f>'总报价汇总'!E17/'总报价汇总'!B17</f>
        <v/>
      </c>
    </row>
  </sheetData>
  <mergeCells count="3">
    <mergeCell ref="A2:E2"/>
    <mergeCell ref="A22:E2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28" customWidth="1" min="3" max="3"/>
    <col width="45" customWidth="1" min="4" max="4"/>
    <col width="14" customWidth="1" min="5" max="5"/>
  </cols>
  <sheetData>
    <row r="1">
      <c r="A1" s="1" t="inlineStr">
        <is>
          <t>AWS Crypto Exchange 安全架构分层</t>
        </is>
      </c>
    </row>
    <row r="2">
      <c r="A2" s="2" t="inlineStr">
        <is>
          <t>多层防御架构 - 满足OWASP + VARA合规要求</t>
        </is>
      </c>
    </row>
    <row r="4">
      <c r="A4" s="10" t="inlineStr">
        <is>
          <t>安全层</t>
        </is>
      </c>
      <c r="B4" s="10" t="inlineStr">
        <is>
          <t>AWS服务</t>
        </is>
      </c>
      <c r="C4" s="10" t="inlineStr">
        <is>
          <t>用途</t>
        </is>
      </c>
      <c r="D4" s="10" t="inlineStr">
        <is>
          <t>配置要点</t>
        </is>
      </c>
      <c r="E4" s="10" t="inlineStr">
        <is>
          <t>对应OWASP</t>
        </is>
      </c>
    </row>
    <row r="5">
      <c r="A5" s="39" t="inlineStr">
        <is>
          <t>Edge/Perimeter</t>
        </is>
      </c>
      <c r="B5" s="27" t="inlineStr">
        <is>
          <t>Amazon CloudFront</t>
        </is>
      </c>
      <c r="C5" s="5" t="inlineStr">
        <is>
          <t>全球CDN, 边缘DDoS吸收</t>
        </is>
      </c>
      <c r="D5" s="13" t="inlineStr">
        <is>
          <t>Origin Access Control, TLS 1.3, 制裁地区地理限制</t>
        </is>
      </c>
      <c r="E5" s="40" t="inlineStr">
        <is>
          <t>A10 SSRF</t>
        </is>
      </c>
    </row>
    <row r="6">
      <c r="A6" s="39" t="inlineStr">
        <is>
          <t>Edge/Perimeter</t>
        </is>
      </c>
      <c r="B6" s="27" t="inlineStr">
        <is>
          <t>Amazon Route 53</t>
        </is>
      </c>
      <c r="C6" s="5" t="inlineStr">
        <is>
          <t>DNS + 健康检查</t>
        </is>
      </c>
      <c r="D6" s="13" t="inlineStr">
        <is>
          <t>DNSSEC, 故障转移路由, Shield Advanced集成</t>
        </is>
      </c>
      <c r="E6" s="40" t="inlineStr">
        <is>
          <t>-</t>
        </is>
      </c>
    </row>
    <row r="7">
      <c r="A7" s="39" t="inlineStr">
        <is>
          <t>Edge/Perimeter</t>
        </is>
      </c>
      <c r="B7" s="27" t="inlineStr">
        <is>
          <t>AWS Shield Advanced</t>
        </is>
      </c>
      <c r="C7" s="5" t="inlineStr">
        <is>
          <t>DDoS防护 (L3/L4/L7)</t>
        </is>
      </c>
      <c r="D7" s="13" t="inlineStr">
        <is>
          <t>始终在线检测, SRT支持, 自动L7缓解, 成本保护</t>
        </is>
      </c>
      <c r="E7" s="40" t="inlineStr">
        <is>
          <t>SC10 DoS</t>
        </is>
      </c>
    </row>
    <row r="8">
      <c r="A8" s="39" t="inlineStr">
        <is>
          <t>Edge/Perimeter</t>
        </is>
      </c>
      <c r="B8" s="27" t="inlineStr">
        <is>
          <t>AWS WAF</t>
        </is>
      </c>
      <c r="C8" s="5" t="inlineStr">
        <is>
          <t>Web应用防火墙</t>
        </is>
      </c>
      <c r="D8" s="13" t="inlineStr">
        <is>
          <t>OWASP Top 10规则, 速率限制, Bot Control, IP信誉</t>
        </is>
      </c>
      <c r="E8" s="40" t="inlineStr">
        <is>
          <t>A03 Injection</t>
        </is>
      </c>
    </row>
    <row r="9">
      <c r="A9" s="41" t="inlineStr">
        <is>
          <t>Network</t>
        </is>
      </c>
      <c r="B9" s="27" t="inlineStr">
        <is>
          <t>AWS Network Firewall</t>
        </is>
      </c>
      <c r="C9" s="5" t="inlineStr">
        <is>
          <t>有状态防火墙 + IDS/IPS</t>
        </is>
      </c>
      <c r="D9" s="13" t="inlineStr">
        <is>
          <t>Suricata规则, 域名过滤, TLS检查</t>
        </is>
      </c>
      <c r="E9" s="40" t="inlineStr">
        <is>
          <t>A05 Misconfig</t>
        </is>
      </c>
    </row>
    <row r="10">
      <c r="A10" s="41" t="inlineStr">
        <is>
          <t>Network</t>
        </is>
      </c>
      <c r="B10" s="27" t="inlineStr">
        <is>
          <t>VPC + Subnets</t>
        </is>
      </c>
      <c r="C10" s="5" t="inlineStr">
        <is>
          <t>网络隔离</t>
        </is>
      </c>
      <c r="D10" s="13" t="inlineStr">
        <is>
          <t>多层: public(ALB), private-app(计算), private-data(DB)</t>
        </is>
      </c>
      <c r="E10" s="40" t="inlineStr">
        <is>
          <t>A01 Access</t>
        </is>
      </c>
    </row>
    <row r="11">
      <c r="A11" s="41" t="inlineStr">
        <is>
          <t>Network</t>
        </is>
      </c>
      <c r="B11" s="27" t="inlineStr">
        <is>
          <t>Security Groups</t>
        </is>
      </c>
      <c r="C11" s="5" t="inlineStr">
        <is>
          <t>实例级防火墙</t>
        </is>
      </c>
      <c r="D11" s="13" t="inlineStr">
        <is>
          <t>最小权限允许规则, SG间引用通信</t>
        </is>
      </c>
      <c r="E11" s="40" t="inlineStr">
        <is>
          <t>A01 Access</t>
        </is>
      </c>
    </row>
    <row r="12">
      <c r="A12" s="41" t="inlineStr">
        <is>
          <t>Network</t>
        </is>
      </c>
      <c r="B12" s="27" t="inlineStr">
        <is>
          <t>Network ACLs</t>
        </is>
      </c>
      <c r="C12" s="5" t="inlineStr">
        <is>
          <t>子网级显式拒绝</t>
        </is>
      </c>
      <c r="D12" s="13" t="inlineStr">
        <is>
          <t>阻止已知恶意IP, 限制未使用端口</t>
        </is>
      </c>
      <c r="E12" s="40" t="inlineStr">
        <is>
          <t>A05 Misconfig</t>
        </is>
      </c>
    </row>
    <row r="13">
      <c r="A13" s="41" t="inlineStr">
        <is>
          <t>Network</t>
        </is>
      </c>
      <c r="B13" s="27" t="inlineStr">
        <is>
          <t>AWS Transit Gateway</t>
        </is>
      </c>
      <c r="C13" s="5" t="inlineStr">
        <is>
          <t>中心网络枢纽</t>
        </is>
      </c>
      <c r="D13" s="13" t="inlineStr">
        <is>
          <t>连接VPC/VPN/Direct Connect; 隔离prod/UAT</t>
        </is>
      </c>
      <c r="E13" s="40" t="inlineStr">
        <is>
          <t>-</t>
        </is>
      </c>
    </row>
    <row r="14">
      <c r="A14" s="41" t="inlineStr">
        <is>
          <t>Network</t>
        </is>
      </c>
      <c r="B14" s="27" t="inlineStr">
        <is>
          <t>AWS PrivateLink</t>
        </is>
      </c>
      <c r="C14" s="5" t="inlineStr">
        <is>
          <t>私有API连接</t>
        </is>
      </c>
      <c r="D14" s="13" t="inlineStr">
        <is>
          <t>Nitro Enclaves安全访问KMS/Secrets Manager</t>
        </is>
      </c>
      <c r="E14" s="40" t="inlineStr">
        <is>
          <t>A02 Crypto</t>
        </is>
      </c>
    </row>
    <row r="15">
      <c r="A15" s="42" t="inlineStr">
        <is>
          <t>Compute</t>
        </is>
      </c>
      <c r="B15" s="27" t="inlineStr">
        <is>
          <t>AWS Nitro Enclaves</t>
        </is>
      </c>
      <c r="C15" s="5" t="inlineStr">
        <is>
          <t>隔离密钥操作</t>
        </is>
      </c>
      <c r="D15" s="13" t="inlineStr">
        <is>
          <t>无持久存储, 无交互访问, 无外部网络; 密码学证明</t>
        </is>
      </c>
      <c r="E15" s="40" t="inlineStr">
        <is>
          <t>A02 Crypto</t>
        </is>
      </c>
    </row>
    <row r="16">
      <c r="A16" s="42" t="inlineStr">
        <is>
          <t>Compute</t>
        </is>
      </c>
      <c r="B16" s="27" t="inlineStr">
        <is>
          <t>Amazon Inspector</t>
        </is>
      </c>
      <c r="C16" s="5" t="inlineStr">
        <is>
          <t>漏洞扫描</t>
        </is>
      </c>
      <c r="D16" s="13" t="inlineStr">
        <is>
          <t>自动发现EC2/ECR/Lambda; 持续扫描; SBOM生成</t>
        </is>
      </c>
      <c r="E16" s="40" t="inlineStr">
        <is>
          <t>A06 Components</t>
        </is>
      </c>
    </row>
    <row r="17">
      <c r="A17" s="32" t="inlineStr">
        <is>
          <t>Data/Encryption</t>
        </is>
      </c>
      <c r="B17" s="27" t="inlineStr">
        <is>
          <t>AWS KMS</t>
        </is>
      </c>
      <c r="C17" s="5" t="inlineStr">
        <is>
          <t>密钥管理</t>
        </is>
      </c>
      <c r="D17" s="13" t="inlineStr">
        <is>
          <t>FIPS 140-2 Level 3 HSM; 信封加密; 条件密钥策略</t>
        </is>
      </c>
      <c r="E17" s="40" t="inlineStr">
        <is>
          <t>A02 Crypto</t>
        </is>
      </c>
    </row>
    <row r="18">
      <c r="A18" s="32" t="inlineStr">
        <is>
          <t>Data/Encryption</t>
        </is>
      </c>
      <c r="B18" s="27" t="inlineStr">
        <is>
          <t>AWS CloudHSM</t>
        </is>
      </c>
      <c r="C18" s="5" t="inlineStr">
        <is>
          <t>专用HSM</t>
        </is>
      </c>
      <c r="D18" s="13" t="inlineStr">
        <is>
          <t>FIPS 140-2 Level 3 + PCI DSS; 单租户; KMS自定义密钥存储</t>
        </is>
      </c>
      <c r="E18" s="40" t="inlineStr">
        <is>
          <t>A02 Crypto</t>
        </is>
      </c>
    </row>
    <row r="19">
      <c r="A19" s="32" t="inlineStr">
        <is>
          <t>Data/Encryption</t>
        </is>
      </c>
      <c r="B19" s="27" t="inlineStr">
        <is>
          <t>AWS Secrets Manager</t>
        </is>
      </c>
      <c r="C19" s="5" t="inlineStr">
        <is>
          <t>密钥存储</t>
        </is>
      </c>
      <c r="D19" s="13" t="inlineStr">
        <is>
          <t>存储加密私钥; 自动轮换; VPC端点访问</t>
        </is>
      </c>
      <c r="E19" s="40" t="inlineStr">
        <is>
          <t>A02 Crypto</t>
        </is>
      </c>
    </row>
    <row r="20">
      <c r="A20" s="43" t="inlineStr">
        <is>
          <t>Identity</t>
        </is>
      </c>
      <c r="B20" s="27" t="inlineStr">
        <is>
          <t>AWS IAM + Cognito</t>
        </is>
      </c>
      <c r="C20" s="5" t="inlineStr">
        <is>
          <t>访问控制 + 用户认证</t>
        </is>
      </c>
      <c r="D20" s="13" t="inlineStr">
        <is>
          <t>最小权限, MFA强制, SCP, 权限边界, 自适应认证</t>
        </is>
      </c>
      <c r="E20" s="40" t="inlineStr">
        <is>
          <t>A01/A07</t>
        </is>
      </c>
    </row>
    <row r="21">
      <c r="A21" s="44" t="inlineStr">
        <is>
          <t>Monitoring</t>
        </is>
      </c>
      <c r="B21" s="27" t="inlineStr">
        <is>
          <t>Amazon GuardDuty</t>
        </is>
      </c>
      <c r="C21" s="5" t="inlineStr">
        <is>
          <t>威胁检测</t>
        </is>
      </c>
      <c r="D21" s="13" t="inlineStr">
        <is>
          <t>扩展威胁检测(EC2/ECS/EKS); 加密货币特定发现; 运行时监控</t>
        </is>
      </c>
      <c r="E21" s="40" t="inlineStr">
        <is>
          <t>A09 Logging</t>
        </is>
      </c>
    </row>
    <row r="22">
      <c r="A22" s="44" t="inlineStr">
        <is>
          <t>Monitoring</t>
        </is>
      </c>
      <c r="B22" s="27" t="inlineStr">
        <is>
          <t>AWS CloudTrail</t>
        </is>
      </c>
      <c r="C22" s="5" t="inlineStr">
        <is>
          <t>API审计日志</t>
        </is>
      </c>
      <c r="D22" s="13" t="inlineStr">
        <is>
          <t>所有管理/数据事件; CloudTrail Lake分析; 完整性验证</t>
        </is>
      </c>
      <c r="E22" s="40" t="inlineStr">
        <is>
          <t>A09 Logging</t>
        </is>
      </c>
    </row>
    <row r="23">
      <c r="A23" s="44" t="inlineStr">
        <is>
          <t>Monitoring</t>
        </is>
      </c>
      <c r="B23" s="27" t="inlineStr">
        <is>
          <t>AWS Security Hub</t>
        </is>
      </c>
      <c r="C23" s="5" t="inlineStr">
        <is>
          <t>安全态势</t>
        </is>
      </c>
      <c r="D23" s="13" t="inlineStr">
        <is>
          <t>聚合GuardDuty/Inspector/Config发现; CIS/PCI/FSBP标准</t>
        </is>
      </c>
      <c r="E23" s="40" t="inlineStr">
        <is>
          <t>A09 Logging</t>
        </is>
      </c>
    </row>
    <row r="24">
      <c r="A24" s="44" t="inlineStr">
        <is>
          <t>Monitoring</t>
        </is>
      </c>
      <c r="B24" s="27" t="inlineStr">
        <is>
          <t>Amazon CloudWatch</t>
        </is>
      </c>
      <c r="C24" s="5" t="inlineStr">
        <is>
          <t>运营监控</t>
        </is>
      </c>
      <c r="D24" s="13" t="inlineStr">
        <is>
          <t>指标/日志/告警; 异常检测; 跨账户仪表板</t>
        </is>
      </c>
      <c r="E24" s="40" t="inlineStr">
        <is>
          <t>A09 Logging</t>
        </is>
      </c>
    </row>
    <row r="25">
      <c r="A25" s="44" t="inlineStr">
        <is>
          <t>Monitoring</t>
        </is>
      </c>
      <c r="B25" s="27" t="inlineStr">
        <is>
          <t>AWS Config</t>
        </is>
      </c>
      <c r="C25" s="5" t="inlineStr">
        <is>
          <t>资源合规</t>
        </is>
      </c>
      <c r="D25" s="13" t="inlineStr">
        <is>
          <t>Config Rules持续合规; 修复操作; 合规包</t>
        </is>
      </c>
      <c r="E25" s="40" t="inlineStr">
        <is>
          <t>A05 Misconfig</t>
        </is>
      </c>
    </row>
    <row r="26">
      <c r="A26" s="45" t="inlineStr">
        <is>
          <t>Compliance</t>
        </is>
      </c>
      <c r="B26" s="27" t="inlineStr">
        <is>
          <t>AWS Audit Manager</t>
        </is>
      </c>
      <c r="C26" s="5" t="inlineStr">
        <is>
          <t>审计自动化</t>
        </is>
      </c>
      <c r="D26" s="13" t="inlineStr">
        <is>
          <t>PCI DSS v4, SOC 2, 自定义框架; 证据收集</t>
        </is>
      </c>
      <c r="E26" s="40" t="inlineStr">
        <is>
          <t>-</t>
        </is>
      </c>
    </row>
    <row r="27">
      <c r="A27" s="45" t="inlineStr">
        <is>
          <t>Compliance</t>
        </is>
      </c>
      <c r="B27" s="27" t="inlineStr">
        <is>
          <t>AWS Firewall Manager</t>
        </is>
      </c>
      <c r="C27" s="5" t="inlineStr">
        <is>
          <t>集中策略</t>
        </is>
      </c>
      <c r="D27" s="13" t="inlineStr">
        <is>
          <t>管理WAF/SG/NF规则跨多账户组织</t>
        </is>
      </c>
      <c r="E27" s="40" t="inlineStr">
        <is>
          <t>A05 Misconfig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38" customWidth="1" min="2" max="2"/>
    <col width="38" customWidth="1" min="3" max="3"/>
    <col width="38" customWidth="1" min="4" max="4"/>
    <col width="8" customWidth="1" min="5" max="5"/>
  </cols>
  <sheetData>
    <row r="1">
      <c r="A1" s="1" t="inlineStr">
        <is>
          <t>OWASP安全标准映射 - Web3 Crypto Exchange</t>
        </is>
      </c>
    </row>
    <row r="3">
      <c r="A3" s="9" t="inlineStr">
        <is>
          <t>OWASP Web Application Top 10 (2021)</t>
        </is>
      </c>
    </row>
    <row r="4">
      <c r="A4" s="10" t="inlineStr">
        <is>
          <t>OWASP类别</t>
        </is>
      </c>
      <c r="B4" s="10" t="inlineStr">
        <is>
          <t>风险描述(交易所场景)</t>
        </is>
      </c>
      <c r="C4" s="10" t="inlineStr">
        <is>
          <t>所需安全控制</t>
        </is>
      </c>
      <c r="D4" s="10" t="inlineStr">
        <is>
          <t>AWS服务映射</t>
        </is>
      </c>
      <c r="E4" s="10" t="inlineStr">
        <is>
          <t>优先级</t>
        </is>
      </c>
    </row>
    <row r="5">
      <c r="A5" s="46" t="inlineStr">
        <is>
          <t>A01 - Broken Access Control</t>
        </is>
      </c>
      <c r="B5" s="13" t="inlineStr">
        <is>
          <t>未授权访问钱包/交易账户/管理面板/提现功能</t>
        </is>
      </c>
      <c r="C5" s="13" t="inlineStr">
        <is>
          <t>RBAC, deny-by-default, 钱包权限隔离, 多签提现</t>
        </is>
      </c>
      <c r="D5" s="13" t="inlineStr">
        <is>
          <t>IAM, Cognito, WAF, Verified Permissions</t>
        </is>
      </c>
      <c r="E5" s="47" t="inlineStr">
        <is>
          <t>P0</t>
        </is>
      </c>
    </row>
    <row r="6">
      <c r="A6" s="46" t="inlineStr">
        <is>
          <t>A02 - Cryptographic Failures</t>
        </is>
      </c>
      <c r="B6" s="13" t="inlineStr">
        <is>
          <t>私钥泄露, 钱包种子短语暴露, API密钥弱加密</t>
        </is>
      </c>
      <c r="C6" s="13" t="inlineStr">
        <is>
          <t>HSM密钥管理, 信封加密, TLS 1.3, 安全密钥仪式</t>
        </is>
      </c>
      <c r="D6" s="13" t="inlineStr">
        <is>
          <t>KMS, CloudHSM, Nitro Enclaves, ACM</t>
        </is>
      </c>
      <c r="E6" s="47" t="inlineStr">
        <is>
          <t>P0</t>
        </is>
      </c>
    </row>
    <row r="7">
      <c r="A7" s="46" t="inlineStr">
        <is>
          <t>A03 - Injection</t>
        </is>
      </c>
      <c r="B7" s="13" t="inlineStr">
        <is>
          <t>交易查询SQL注入, 订单簿NoSQL注入, 区块链节点命令注入</t>
        </is>
      </c>
      <c r="C7" s="13" t="inlineStr">
        <is>
          <t>参数化查询, 输入清理, WAF SQLi/XSS规则</t>
        </is>
      </c>
      <c r="D7" s="13" t="inlineStr">
        <is>
          <t>WAF (AMR规则), RDS, API Gateway验证</t>
        </is>
      </c>
      <c r="E7" s="47" t="inlineStr">
        <is>
          <t>P0</t>
        </is>
      </c>
    </row>
    <row r="8">
      <c r="A8" s="46" t="inlineStr">
        <is>
          <t>A04 - Insecure Design</t>
        </is>
      </c>
      <c r="B8" s="13" t="inlineStr">
        <is>
          <t>交易引擎缺乏威胁建模, 提现无速率限制, 无熔断器</t>
        </is>
      </c>
      <c r="C8" s="13" t="inlineStr">
        <is>
          <t>威胁建模, 安全设计模式, 交易熔断器, 提现速度限制</t>
        </is>
      </c>
      <c r="D8" s="13" t="inlineStr">
        <is>
          <t>Well-Architected, EventBridge, Step Functions</t>
        </is>
      </c>
      <c r="E8" s="48" t="inlineStr">
        <is>
          <t>P1</t>
        </is>
      </c>
    </row>
    <row r="9">
      <c r="A9" s="46" t="inlineStr">
        <is>
          <t>A05 - Security Misconfiguration</t>
        </is>
      </c>
      <c r="B9" s="13" t="inlineStr">
        <is>
          <t>暴露的区块链节点RPC端点, 默认凭证, 过宽CORS</t>
        </is>
      </c>
      <c r="C9" s="13" t="inlineStr">
        <is>
          <t>加固配置, 自动配置审计, 最小权限</t>
        </is>
      </c>
      <c r="D9" s="13" t="inlineStr">
        <is>
          <t>Config, Security Hub, Inspector, SSM</t>
        </is>
      </c>
      <c r="E9" s="48" t="inlineStr">
        <is>
          <t>P1</t>
        </is>
      </c>
    </row>
    <row r="10">
      <c r="A10" s="46" t="inlineStr">
        <is>
          <t>A06 - Vulnerable Components</t>
        </is>
      </c>
      <c r="B10" s="13" t="inlineStr">
        <is>
          <t>过时区块链节点软件, 未修补交易库, 脆弱智能合约依赖</t>
        </is>
      </c>
      <c r="C10" s="13" t="inlineStr">
        <is>
          <t>软件组成分析, 自动修补, 容器镜像扫描</t>
        </is>
      </c>
      <c r="D10" s="13" t="inlineStr">
        <is>
          <t>ECR扫描, Inspector, SSM Patch Manager</t>
        </is>
      </c>
      <c r="E10" s="48" t="inlineStr">
        <is>
          <t>P1</t>
        </is>
      </c>
    </row>
    <row r="11">
      <c r="A11" s="46" t="inlineStr">
        <is>
          <t>A07 - Auth Failures</t>
        </is>
      </c>
      <c r="B11" s="13" t="inlineStr">
        <is>
          <t>弱MFA, 活跃交易中会话劫持, 登录API凭证填充</t>
        </is>
      </c>
      <c r="C11" s="13" t="inlineStr">
        <is>
          <t>硬件MFA(FIDO2), 自适应认证, 会话绑定IP/设备</t>
        </is>
      </c>
      <c r="D11" s="13" t="inlineStr">
        <is>
          <t>Cognito(MFA/自适应), WAF(Bot Control)</t>
        </is>
      </c>
      <c r="E11" s="47" t="inlineStr">
        <is>
          <t>P0</t>
        </is>
      </c>
    </row>
    <row r="12">
      <c r="A12" s="46" t="inlineStr">
        <is>
          <t>A08 - Software Integrity</t>
        </is>
      </c>
      <c r="B12" s="13" t="inlineStr">
        <is>
          <t>被入侵CI/CD部署恶意代码, 篡改智能合约升级</t>
        </is>
      </c>
      <c r="C12" s="13" t="inlineStr">
        <is>
          <t>代码签名, 不可变部署管道, 供应链验证</t>
        </is>
      </c>
      <c r="D12" s="13" t="inlineStr">
        <is>
          <t>Signer, CodePipeline, ECR签名, CloudTrail</t>
        </is>
      </c>
      <c r="E12" s="48" t="inlineStr">
        <is>
          <t>P1</t>
        </is>
      </c>
    </row>
    <row r="13">
      <c r="A13" s="46" t="inlineStr">
        <is>
          <t>A09 - Logging Failures</t>
        </is>
      </c>
      <c r="B13" s="13" t="inlineStr">
        <is>
          <t>未检测到未授权提现, 遗漏可疑交易模式</t>
        </is>
      </c>
      <c r="C13" s="13" t="inlineStr">
        <is>
          <t>实时交易监控, 异常检测, 全面审计日志</t>
        </is>
      </c>
      <c r="D13" s="13" t="inlineStr">
        <is>
          <t>CloudWatch, CloudTrail, GuardDuty, Security Hub</t>
        </is>
      </c>
      <c r="E13" s="47" t="inlineStr">
        <is>
          <t>P0</t>
        </is>
      </c>
    </row>
    <row r="14">
      <c r="A14" s="46" t="inlineStr">
        <is>
          <t>A10 - SSRF</t>
        </is>
      </c>
      <c r="B14" s="13" t="inlineStr">
        <is>
          <t>SSRF攻击内部区块链节点RPC, 访问元数据服务窃取凭证</t>
        </is>
      </c>
      <c r="C14" s="13" t="inlineStr">
        <is>
          <t>URL输入验证, 网络分段, IMDSv2强制</t>
        </is>
      </c>
      <c r="D14" s="13" t="inlineStr">
        <is>
          <t>WAF(SSRF规则), VPC SG, IMDSv2, PrivateLink</t>
        </is>
      </c>
      <c r="E14" s="48" t="inlineStr">
        <is>
          <t>P1</t>
        </is>
      </c>
    </row>
    <row r="16">
      <c r="A16" s="9" t="inlineStr">
        <is>
          <t>OWASP API Security Top 10 (2023)</t>
        </is>
      </c>
    </row>
    <row r="17">
      <c r="A17" s="10" t="inlineStr">
        <is>
          <t>OWASP类别</t>
        </is>
      </c>
      <c r="B17" s="10" t="inlineStr">
        <is>
          <t>风险描述(交易所场景)</t>
        </is>
      </c>
      <c r="C17" s="10" t="inlineStr">
        <is>
          <t>所需安全控制</t>
        </is>
      </c>
      <c r="D17" s="10" t="inlineStr">
        <is>
          <t>AWS服务映射</t>
        </is>
      </c>
      <c r="E17" s="10" t="inlineStr">
        <is>
          <t>优先级</t>
        </is>
      </c>
    </row>
    <row r="18">
      <c r="A18" s="46" t="inlineStr">
        <is>
          <t>API1 - Broken Object Level Auth</t>
        </is>
      </c>
      <c r="B18" s="13" t="inlineStr">
        <is>
          <t>访问他人钱包/交易历史, 操纵订单ID</t>
        </is>
      </c>
      <c r="C18" s="13" t="inlineStr">
        <is>
          <t>每对象授权检查, 用户-资源所有权验证</t>
        </is>
      </c>
      <c r="D18" s="13" t="inlineStr">
        <is>
          <t>Cognito, Verified Permissions, API Gateway</t>
        </is>
      </c>
      <c r="E18" s="47" t="inlineStr">
        <is>
          <t>P0</t>
        </is>
      </c>
    </row>
    <row r="19">
      <c r="A19" s="46" t="inlineStr">
        <is>
          <t>API2 - Broken Authentication</t>
        </is>
      </c>
      <c r="B19" s="13" t="inlineStr">
        <is>
          <t>被盗API密钥执行未授权交易, JWT令牌泄露</t>
        </is>
      </c>
      <c r="C19" s="13" t="inlineStr">
        <is>
          <t>OAuth 2.0/OIDC, 短期令牌, API密钥轮换, mTLS</t>
        </is>
      </c>
      <c r="D19" s="13" t="inlineStr">
        <is>
          <t>Cognito, IAM(SigV4), API Gateway, Secrets Manager</t>
        </is>
      </c>
      <c r="E19" s="47" t="inlineStr">
        <is>
          <t>P0</t>
        </is>
      </c>
    </row>
    <row r="20">
      <c r="A20" s="46" t="inlineStr">
        <is>
          <t>API3 - Broken Property Level Auth</t>
        </is>
      </c>
      <c r="B20" s="13" t="inlineStr">
        <is>
          <t>交易响应暴露内部撮合细节, 账户设置批量赋值</t>
        </is>
      </c>
      <c r="C20" s="13" t="inlineStr">
        <is>
          <t>响应过滤, 属性级访问控制, 读写字段分离</t>
        </is>
      </c>
      <c r="D20" s="13" t="inlineStr">
        <is>
          <t>API Gateway(响应映射), AppSync(字段级授权)</t>
        </is>
      </c>
      <c r="E20" s="48" t="inlineStr">
        <is>
          <t>P1</t>
        </is>
      </c>
    </row>
    <row r="21">
      <c r="A21" s="46" t="inlineStr">
        <is>
          <t>API4 - Unrestricted Resource</t>
        </is>
      </c>
      <c r="B21" s="13" t="inlineStr">
        <is>
          <t>API滥用抓取市场数据, 订单洪水攻击</t>
        </is>
      </c>
      <c r="C21" s="13" t="inlineStr">
        <is>
          <t>速率限制, 节流, 请求配额, 基于成本的资源分配</t>
        </is>
      </c>
      <c r="D21" s="13" t="inlineStr">
        <is>
          <t>API Gateway(节流/配额), WAF(速率规则), CloudFront</t>
        </is>
      </c>
      <c r="E21" s="47" t="inlineStr">
        <is>
          <t>P0</t>
        </is>
      </c>
    </row>
    <row r="22">
      <c r="A22" s="46" t="inlineStr">
        <is>
          <t>API5 - Broken Function Level Auth</t>
        </is>
      </c>
      <c r="B22" s="13" t="inlineStr">
        <is>
          <t>普通用户访问管理员提现审批API, 权限提升</t>
        </is>
      </c>
      <c r="C22" s="13" t="inlineStr">
        <is>
          <t>严格功能级RBAC, 独立管理API端点, 最小权限</t>
        </is>
      </c>
      <c r="D22" s="13" t="inlineStr">
        <is>
          <t>IAM策略, Cognito组, Verified Permissions</t>
        </is>
      </c>
      <c r="E22" s="47" t="inlineStr">
        <is>
          <t>P0</t>
        </is>
      </c>
    </row>
    <row r="23">
      <c r="A23" s="46" t="inlineStr">
        <is>
          <t>API6 - Unrestricted Sensitive Flows</t>
        </is>
      </c>
      <c r="B23" s="13" t="inlineStr">
        <is>
          <t>自动化Bot利用做市API, 自动创建账户洗盘交易</t>
        </is>
      </c>
      <c r="C23" s="13" t="inlineStr">
        <is>
          <t>Bot检测, CAPTCHA, 业务逻辑速率限制, 行为分析</t>
        </is>
      </c>
      <c r="D23" s="13" t="inlineStr">
        <is>
          <t>WAF(Bot Control), Cognito(高级安全), Fraud Detector</t>
        </is>
      </c>
      <c r="E23" s="48" t="inlineStr">
        <is>
          <t>P1</t>
        </is>
      </c>
    </row>
    <row r="24">
      <c r="A24" s="46" t="inlineStr">
        <is>
          <t>API7 - SSRF</t>
        </is>
      </c>
      <c r="B24" s="13" t="inlineStr">
        <is>
          <t>通过Webhook URL的SSRF攻击内部区块链节点</t>
        </is>
      </c>
      <c r="C24" s="13" t="inlineStr">
        <is>
          <t>URL验证, 外部端点白名单, 网络分段</t>
        </is>
      </c>
      <c r="D24" s="13" t="inlineStr">
        <is>
          <t>WAF, VPC端点, PrivateLink, SG, IMDSv2</t>
        </is>
      </c>
      <c r="E24" s="48" t="inlineStr">
        <is>
          <t>P1</t>
        </is>
      </c>
    </row>
    <row r="25">
      <c r="A25" s="46" t="inlineStr">
        <is>
          <t>API8 - Security Misconfiguration</t>
        </is>
      </c>
      <c r="B25" s="13" t="inlineStr">
        <is>
          <t>暴露API文档泄露交易引擎细节, 宽松CORS</t>
        </is>
      </c>
      <c r="C25" s="13" t="inlineStr">
        <is>
          <t>API网关加固, CORS限制, 错误消息清理</t>
        </is>
      </c>
      <c r="D25" s="13" t="inlineStr">
        <is>
          <t>API Gateway(阶段设置), Config规则, Security Hub</t>
        </is>
      </c>
      <c r="E25" s="48" t="inlineStr">
        <is>
          <t>P1</t>
        </is>
      </c>
    </row>
    <row r="26">
      <c r="A26" s="46" t="inlineStr">
        <is>
          <t>API9 - Improper Inventory</t>
        </is>
      </c>
      <c r="B26" s="13" t="inlineStr">
        <is>
          <t>影子/废弃交易API仍可访问, 旧版本已知漏洞</t>
        </is>
      </c>
      <c r="C26" s="13" t="inlineStr">
        <is>
          <t>API清单管理, 版本弃用策略, API发现扫描</t>
        </is>
      </c>
      <c r="D26" s="13" t="inlineStr">
        <is>
          <t>API Gateway(阶段管理), Config, Inspector</t>
        </is>
      </c>
      <c r="E26" s="48" t="inlineStr">
        <is>
          <t>P1</t>
        </is>
      </c>
    </row>
    <row r="27">
      <c r="A27" s="46" t="inlineStr">
        <is>
          <t>API10 - Unsafe Consumption</t>
        </is>
      </c>
      <c r="B27" s="13" t="inlineStr">
        <is>
          <t>信任未验证的外部价格源, 未验证的区块链RPC响应</t>
        </is>
      </c>
      <c r="C27" s="13" t="inlineStr">
        <is>
          <t>所有外部API响应输入验证, 熔断器, 数据完整性检查</t>
        </is>
      </c>
      <c r="D27" s="13" t="inlineStr">
        <is>
          <t>Lambda(验证逻辑), EventBridge, Step Functions</t>
        </is>
      </c>
      <c r="E27" s="48" t="inlineStr">
        <is>
          <t>P1</t>
        </is>
      </c>
    </row>
    <row r="29">
      <c r="A29" s="9" t="inlineStr">
        <is>
          <t>OWASP Smart Contract Top 10 (2025)</t>
        </is>
      </c>
    </row>
    <row r="30">
      <c r="A30" s="10" t="inlineStr">
        <is>
          <t>OWASP类别</t>
        </is>
      </c>
      <c r="B30" s="10" t="inlineStr">
        <is>
          <t>风险描述(交易所场景)</t>
        </is>
      </c>
      <c r="C30" s="10" t="inlineStr">
        <is>
          <t>所需安全控制</t>
        </is>
      </c>
      <c r="D30" s="10" t="inlineStr">
        <is>
          <t>AWS服务映射</t>
        </is>
      </c>
      <c r="E30" s="10" t="inlineStr">
        <is>
          <t>优先级</t>
        </is>
      </c>
    </row>
    <row r="31">
      <c r="A31" s="46" t="inlineStr">
        <is>
          <t>SC01 - Access Control</t>
        </is>
      </c>
      <c r="B31" s="13" t="inlineStr">
        <is>
          <t>未授权管理员访问交易所智能合约, 未保护初始化函数</t>
        </is>
      </c>
      <c r="C31" s="13" t="inlineStr">
        <is>
          <t>合约RBAC, 多签治理, 函数可见性限制</t>
        </is>
      </c>
      <c r="D31" s="13" t="inlineStr">
        <is>
          <t>Nitro Enclaves, KMS, Step Functions(多审批)</t>
        </is>
      </c>
      <c r="E31" s="47" t="inlineStr">
        <is>
          <t>P0</t>
        </is>
      </c>
    </row>
    <row r="32">
      <c r="A32" s="46" t="inlineStr">
        <is>
          <t>SC02 - Price Oracle Manipulation</t>
        </is>
      </c>
      <c r="B32" s="13" t="inlineStr">
        <is>
          <t>操纵价格源影响代币上市, DEX集成定价利用</t>
        </is>
      </c>
      <c r="C32" s="13" t="inlineStr">
        <is>
          <t>去中心化预言机聚合, TWAP定价, 多数据源验证</t>
        </is>
      </c>
      <c r="D32" s="13" t="inlineStr">
        <is>
          <t>AMB Access, CloudWatch(异常检测), Lambda</t>
        </is>
      </c>
      <c r="E32" s="47" t="inlineStr">
        <is>
          <t>P0</t>
        </is>
      </c>
    </row>
    <row r="33">
      <c r="A33" s="46" t="inlineStr">
        <is>
          <t>SC03 - Logic Errors</t>
        </is>
      </c>
      <c r="B33" s="13" t="inlineStr">
        <is>
          <t>错误费用计算, 有缺陷的代币交换逻辑</t>
        </is>
      </c>
      <c r="C33" s="13" t="inlineStr">
        <is>
          <t>形式化验证, 全面单元/集成测试, 第三方审计</t>
        </is>
      </c>
      <c r="D33" s="13" t="inlineStr">
        <is>
          <t>CodeBuild, CodeGuru, CloudFormation</t>
        </is>
      </c>
      <c r="E33" s="48" t="inlineStr">
        <is>
          <t>P1</t>
        </is>
      </c>
    </row>
    <row r="34">
      <c r="A34" s="46" t="inlineStr">
        <is>
          <t>SC04 - Lack of Input Validation</t>
        </is>
      </c>
      <c r="B34" s="13" t="inlineStr">
        <is>
          <t>操纵交易参数, 通过构造输入绕过提现限制</t>
        </is>
      </c>
      <c r="C34" s="13" t="inlineStr">
        <is>
          <t>严格输入边界检查, require语句, SafeMath</t>
        </is>
      </c>
      <c r="D34" s="13" t="inlineStr">
        <is>
          <t>Lambda(链下验证), API Gateway, WAF</t>
        </is>
      </c>
      <c r="E34" s="48" t="inlineStr">
        <is>
          <t>P1</t>
        </is>
      </c>
    </row>
    <row r="35">
      <c r="A35" s="46" t="inlineStr">
        <is>
          <t>SC05 - Reentrancy Attacks</t>
        </is>
      </c>
      <c r="B35" s="13" t="inlineStr">
        <is>
          <t>通过递归提现调用耗尽热钱包合约</t>
        </is>
      </c>
      <c r="C35" s="13" t="inlineStr">
        <is>
          <t>Checks-Effects-Interactions模式, 重入锁</t>
        </is>
      </c>
      <c r="D35" s="13" t="inlineStr">
        <is>
          <t>Nitro Enclaves(隔离签名), CloudWatch(异常检测)</t>
        </is>
      </c>
      <c r="E35" s="47" t="inlineStr">
        <is>
          <t>P0</t>
        </is>
      </c>
    </row>
    <row r="36">
      <c r="A36" s="46" t="inlineStr">
        <is>
          <t>SC06 - Unchecked External Calls</t>
        </is>
      </c>
      <c r="B36" s="13" t="inlineStr">
        <is>
          <t>未检测到失败的代币转账, 跨链桥交互静默失败</t>
        </is>
      </c>
      <c r="C36" s="13" t="inlineStr">
        <is>
          <t>返回值检查, try/catch模式, 交易收据验证</t>
        </is>
      </c>
      <c r="D36" s="13" t="inlineStr">
        <is>
          <t>AMB(交易监控), Step Functions, CloudWatch</t>
        </is>
      </c>
      <c r="E36" s="48" t="inlineStr">
        <is>
          <t>P1</t>
        </is>
      </c>
    </row>
    <row r="37">
      <c r="A37" s="46" t="inlineStr">
        <is>
          <t>SC07 - Flash Loan Attacks</t>
        </is>
      </c>
      <c r="B37" s="13" t="inlineStr">
        <is>
          <t>闪电贷资助的市场操纵, 治理攻击</t>
        </is>
      </c>
      <c r="C37" s="13" t="inlineStr">
        <is>
          <t>闪电贷检测, 多区块确认, 时间加权计算</t>
        </is>
      </c>
      <c r="D37" s="13" t="inlineStr">
        <is>
          <t>AMB(区块监控), Kinesis(实时流), Lambda</t>
        </is>
      </c>
      <c r="E37" s="47" t="inlineStr">
        <is>
          <t>P0</t>
        </is>
      </c>
    </row>
    <row r="38">
      <c r="A38" s="46" t="inlineStr">
        <is>
          <t>SC08 - Integer Overflow</t>
        </is>
      </c>
      <c r="B38" s="13" t="inlineStr">
        <is>
          <t>余额计算错误, 费用/奖励算术错误</t>
        </is>
      </c>
      <c r="C38" s="13" t="inlineStr">
        <is>
          <t>SafeMath库, Solidity 0.8+内置溢出检查</t>
        </is>
      </c>
      <c r="D38" s="13" t="inlineStr">
        <is>
          <t>CodeBuild(静态分析), CodeGuru</t>
        </is>
      </c>
      <c r="E38" s="48" t="inlineStr">
        <is>
          <t>P1</t>
        </is>
      </c>
    </row>
    <row r="39">
      <c r="A39" s="46" t="inlineStr">
        <is>
          <t>SC09 - Insecure Randomness</t>
        </is>
      </c>
      <c r="B39" s="13" t="inlineStr">
        <is>
          <t>可预测的抽奖结果, 可利用的订单匹配随机选择</t>
        </is>
      </c>
      <c r="C39" s="13" t="inlineStr">
        <is>
          <t>Chainlink VRF, commit-reveal方案</t>
        </is>
      </c>
      <c r="D39" s="13" t="inlineStr">
        <is>
          <t>CloudHSM(安全随机), KMS(熵源), Nitro Enclaves</t>
        </is>
      </c>
      <c r="E39" s="48" t="inlineStr">
        <is>
          <t>P1</t>
        </is>
      </c>
    </row>
    <row r="40">
      <c r="A40" s="46" t="inlineStr">
        <is>
          <t>SC10 - Denial of Service</t>
        </is>
      </c>
      <c r="B40" s="13" t="inlineStr">
        <is>
          <t>Gas耗尽攻击, 阻止提现, 订单结算Griefing攻击</t>
        </is>
      </c>
      <c r="C40" s="13" t="inlineStr">
        <is>
          <t>Gas高效模式, pull-over-push提现, 紧急暂停</t>
        </is>
      </c>
      <c r="D40" s="13" t="inlineStr">
        <is>
          <t>Shield Advanced, CloudWatch, Lambda(熔断器)</t>
        </is>
      </c>
      <c r="E40" s="47" t="inlineStr">
        <is>
          <t>P0</t>
        </is>
      </c>
    </row>
  </sheetData>
  <mergeCells count="4">
    <mergeCell ref="A16:E16"/>
    <mergeCell ref="A29:E29"/>
    <mergeCell ref="A1:E1"/>
    <mergeCell ref="A3:E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10" customWidth="1" min="3" max="3"/>
    <col width="18" customWidth="1" min="4" max="4"/>
    <col width="18" customWidth="1" min="5" max="5"/>
    <col width="45" customWidth="1" min="6" max="6"/>
  </cols>
  <sheetData>
    <row r="1">
      <c r="A1" s="1" t="inlineStr">
        <is>
          <t>渗透测试服务报价 - Web3 Crypto Exchange</t>
        </is>
      </c>
    </row>
    <row r="2">
      <c r="A2" s="2" t="inlineStr">
        <is>
          <t>遵循OWASP WSTG / PTES / OSSTMM方法论 | 迪拜/中东区域报价</t>
        </is>
      </c>
    </row>
    <row r="4">
      <c r="A4" s="3" t="inlineStr">
        <is>
          <t>报价假设</t>
        </is>
      </c>
    </row>
    <row r="5">
      <c r="A5" t="inlineStr">
        <is>
          <t>中东区域溢价</t>
        </is>
      </c>
      <c r="B5" s="49" t="n">
        <v>0.3</v>
      </c>
      <c r="C5" s="19" t="inlineStr">
        <is>
          <t>迪拜/ME地区20-40%溢价</t>
        </is>
      </c>
    </row>
    <row r="6">
      <c r="A6" t="inlineStr">
        <is>
          <t>双环境附加比例</t>
        </is>
      </c>
      <c r="B6" s="49" t="n">
        <v>0.5</v>
      </c>
      <c r="C6" s="19" t="inlineStr">
        <is>
          <t>测试Prod+UAT额外40-60%</t>
        </is>
      </c>
    </row>
    <row r="8">
      <c r="A8" s="10" t="inlineStr">
        <is>
          <t>测试领域</t>
        </is>
      </c>
      <c r="B8" s="10" t="inlineStr">
        <is>
          <t>方法论</t>
        </is>
      </c>
      <c r="C8" s="10" t="inlineStr">
        <is>
          <t>工期(天)</t>
        </is>
      </c>
      <c r="D8" s="10" t="inlineStr">
        <is>
          <t>费用范围-低(USD)</t>
        </is>
      </c>
      <c r="E8" s="10" t="inlineStr">
        <is>
          <t>费用范围-高(USD)</t>
        </is>
      </c>
      <c r="F8" s="10" t="inlineStr">
        <is>
          <t>交付物</t>
        </is>
      </c>
    </row>
    <row r="9">
      <c r="A9" s="5" t="inlineStr">
        <is>
          <t>Web应用(交易平台)</t>
        </is>
      </c>
      <c r="B9" s="13" t="inlineStr">
        <is>
          <t>OWASP WSTG, PTES</t>
        </is>
      </c>
      <c r="C9" s="40" t="inlineStr">
        <is>
          <t>10-15</t>
        </is>
      </c>
      <c r="D9" s="11" t="n">
        <v>15000</v>
      </c>
      <c r="E9" s="11" t="n">
        <v>30000</v>
      </c>
      <c r="F9" s="13" t="inlineStr">
        <is>
          <t>技术报告, CVSS评分, PoC漏洞利用, 修复指南</t>
        </is>
      </c>
    </row>
    <row r="10">
      <c r="A10" s="5" t="inlineStr">
        <is>
          <t>API测试(REST/WebSocket/Trading)</t>
        </is>
      </c>
      <c r="B10" s="13" t="inlineStr">
        <is>
          <t>OWASP WSTG(API), PTES</t>
        </is>
      </c>
      <c r="C10" s="40" t="inlineStr">
        <is>
          <t>8-12</t>
        </is>
      </c>
      <c r="D10" s="11" t="n">
        <v>15000</v>
      </c>
      <c r="E10" s="11" t="n">
        <v>30000</v>
      </c>
      <c r="F10" s="13" t="inlineStr">
        <is>
          <t>API漏洞报告, 认证/授权绕过, 业务逻辑缺陷</t>
        </is>
      </c>
    </row>
    <row r="11">
      <c r="A11" s="5" t="inlineStr">
        <is>
          <t>移动应用(iOS + Android)</t>
        </is>
      </c>
      <c r="B11" s="13" t="inlineStr">
        <is>
          <t>OWASP MASVS/MSTG, PTES</t>
        </is>
      </c>
      <c r="C11" s="40" t="inlineStr">
        <is>
          <t>8-12</t>
        </is>
      </c>
      <c r="D11" s="11" t="n">
        <v>15000</v>
      </c>
      <c r="E11" s="11" t="n">
        <v>40000</v>
      </c>
      <c r="F11" s="13" t="inlineStr">
        <is>
          <t>移动安全报告, 本地存储分析, 证书固定评估</t>
        </is>
      </c>
    </row>
    <row r="12">
      <c r="A12" s="5" t="inlineStr">
        <is>
          <t>基础设施/云(AWS)</t>
        </is>
      </c>
      <c r="B12" s="13" t="inlineStr">
        <is>
          <t>PTES, OSSTMM, NIST 800-115</t>
        </is>
      </c>
      <c r="C12" s="40" t="inlineStr">
        <is>
          <t>10-15</t>
        </is>
      </c>
      <c r="D12" s="11" t="n">
        <v>20000</v>
      </c>
      <c r="E12" s="11" t="n">
        <v>50000</v>
      </c>
      <c r="F12" s="13" t="inlineStr">
        <is>
          <t>网络拓扑发现, 云配置错误, 权限提升路径</t>
        </is>
      </c>
    </row>
    <row r="13">
      <c r="A13" s="5" t="inlineStr">
        <is>
          <t>智能合约审计(Solidity/EVM)</t>
        </is>
      </c>
      <c r="B13" s="13" t="inlineStr">
        <is>
          <t>OWASP SCSTG, 手动审查</t>
        </is>
      </c>
      <c r="C13" s="40" t="inlineStr">
        <is>
          <t>15-30</t>
        </is>
      </c>
      <c r="D13" s="11" t="n">
        <v>25000</v>
      </c>
      <c r="E13" s="11" t="n">
        <v>100000</v>
      </c>
      <c r="F13" s="13" t="inlineStr">
        <is>
          <t>正式审计报告, 严重性分类, 修复验证, 审计证书</t>
        </is>
      </c>
    </row>
    <row r="14">
      <c r="A14" s="5" t="inlineStr">
        <is>
          <t>复测/修复验证</t>
        </is>
      </c>
      <c r="B14" s="13" t="inlineStr">
        <is>
          <t>OWASP WSTG</t>
        </is>
      </c>
      <c r="C14" s="40" t="inlineStr">
        <is>
          <t>3-5</t>
        </is>
      </c>
      <c r="D14" s="11" t="n">
        <v>5000</v>
      </c>
      <c r="E14" s="11" t="n">
        <v>15000</v>
      </c>
      <c r="F14" s="13" t="inlineStr">
        <is>
          <t>修复验证报告, 关闭确认</t>
        </is>
      </c>
    </row>
    <row r="15">
      <c r="A15" s="15" t="inlineStr">
        <is>
          <t>单环境合计 (54-89天)</t>
        </is>
      </c>
      <c r="B15" s="26" t="n"/>
      <c r="C15" s="26" t="n"/>
      <c r="D15" s="16">
        <f>SUM(D9:D14)</f>
        <v/>
      </c>
      <c r="E15" s="16">
        <f>SUM(E9:E14)</f>
        <v/>
      </c>
      <c r="F15" s="26" t="n"/>
    </row>
    <row r="16">
      <c r="A16" s="27" t="inlineStr">
        <is>
          <t>中东区域溢价后 (单环境)</t>
        </is>
      </c>
      <c r="D16" s="12">
        <f>D15*(1+B5)</f>
        <v/>
      </c>
      <c r="E16" s="12">
        <f>E15*(1+B5)</f>
        <v/>
      </c>
    </row>
    <row r="17">
      <c r="A17" s="50" t="inlineStr">
        <is>
          <t>双环境(Prod+UAT)总费用</t>
        </is>
      </c>
      <c r="D17" s="51">
        <f>D16*(1+B6)</f>
        <v/>
      </c>
      <c r="E17" s="51">
        <f>E16*(1+B6)</f>
        <v/>
      </c>
    </row>
    <row r="19">
      <c r="A19" s="21" t="inlineStr">
        <is>
          <t>补充说明:</t>
        </is>
      </c>
    </row>
    <row r="20">
      <c r="A20" s="22" t="inlineStr">
        <is>
          <t>1. 智能合约审计: Solidity(EVM)最具竞争力; Rust(Solana)溢价25-40%; Cairo(StarkNet)溢价30-45%</t>
        </is>
      </c>
    </row>
    <row r="21">
      <c r="A21" s="22" t="inlineStr">
        <is>
          <t>2. 加急费用: 1周(vs 4周)加收20-40%</t>
        </is>
      </c>
    </row>
    <row r="22">
      <c r="A22" s="22" t="inlineStr">
        <is>
          <t>3. 复审/修复轮次: 通常需要至少1轮修复验证，每轮$5,000-$20,000</t>
        </is>
      </c>
    </row>
    <row r="23">
      <c r="A23" s="22" t="inlineStr">
        <is>
          <t>4. VARA要求: 年度渗透测试 + 季度漏洞评估 + 关键系统TLPT</t>
        </is>
      </c>
    </row>
    <row r="24">
      <c r="A24" s="22" t="inlineStr">
        <is>
          <t>5. 2024年中东数据泄露平均成本$8.75M，充分证明安全投资的必要性</t>
        </is>
      </c>
    </row>
    <row r="25">
      <c r="A25" s="22" t="inlineStr">
        <is>
          <t>6. AWS Marketplace提供符合OWASP/NIST/PTES方法论的渗透测试服务</t>
        </is>
      </c>
    </row>
  </sheetData>
  <mergeCells count="9">
    <mergeCell ref="A4:B4"/>
    <mergeCell ref="A2:F2"/>
    <mergeCell ref="A24:F24"/>
    <mergeCell ref="A1:F1"/>
    <mergeCell ref="A23:F23"/>
    <mergeCell ref="A22:F22"/>
    <mergeCell ref="A20:F20"/>
    <mergeCell ref="A21:F21"/>
    <mergeCell ref="A25:F2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8" customWidth="1" min="2" max="2"/>
    <col width="42" customWidth="1" min="3" max="3"/>
    <col width="30" customWidth="1" min="4" max="4"/>
  </cols>
  <sheetData>
    <row r="1">
      <c r="A1" s="1" t="inlineStr">
        <is>
          <t>Dubai VARA 技术安全合规要求</t>
        </is>
      </c>
    </row>
    <row r="2">
      <c r="A2" s="2" t="inlineStr">
        <is>
          <t>Virtual Asset Regulatory Authority - Technology and Information Rulebook (2023, Updated May 2025)</t>
        </is>
      </c>
    </row>
    <row r="4">
      <c r="A4" s="10" t="inlineStr">
        <is>
          <t>要求类别</t>
        </is>
      </c>
      <c r="B4" s="10" t="inlineStr">
        <is>
          <t>具体要求</t>
        </is>
      </c>
      <c r="C4" s="10" t="inlineStr">
        <is>
          <t>合规控制措施</t>
        </is>
      </c>
      <c r="D4" s="10" t="inlineStr">
        <is>
          <t>AWS服务支持</t>
        </is>
      </c>
    </row>
    <row r="5">
      <c r="A5" s="5" t="inlineStr">
        <is>
          <t>渗透测试</t>
        </is>
      </c>
      <c r="B5" s="13" t="inlineStr">
        <is>
          <t>年度渗透测试由合格独立第三方执行</t>
        </is>
      </c>
      <c r="C5" s="13" t="inlineStr">
        <is>
          <t>认证外部审计师; 新系统上线前测试; 结果提交VARA</t>
        </is>
      </c>
      <c r="D5" s="13" t="inlineStr">
        <is>
          <t>Inspector, Security Hub, Marketplace</t>
        </is>
      </c>
    </row>
    <row r="6">
      <c r="A6" s="5" t="inlineStr">
        <is>
          <t>渗透测试</t>
        </is>
      </c>
      <c r="B6" s="13" t="inlineStr">
        <is>
          <t>季度漏洞评估</t>
        </is>
      </c>
      <c r="C6" s="13" t="inlineStr">
        <is>
          <t>季度扫描+正式修复跟踪</t>
        </is>
      </c>
      <c r="D6" s="13" t="inlineStr">
        <is>
          <t>Inspector, Config Rules</t>
        </is>
      </c>
    </row>
    <row r="7">
      <c r="A7" s="5" t="inlineStr">
        <is>
          <t>渗透测试</t>
        </is>
      </c>
      <c r="B7" s="13" t="inlineStr">
        <is>
          <t>威胁导向渗透测试(TLPT)在生产系统</t>
        </is>
      </c>
      <c r="C7" s="13" t="inlineStr">
        <is>
          <t>外部认证测试者; 覆盖关键/重要功能; 摘要提交VARA</t>
        </is>
      </c>
      <c r="D7" s="13" t="inlineStr">
        <is>
          <t>Shield Advanced, WAF, GuardDuty</t>
        </is>
      </c>
    </row>
    <row r="8">
      <c r="A8" s="5" t="inlineStr">
        <is>
          <t>智能合约安全</t>
        </is>
      </c>
      <c r="B8" s="13" t="inlineStr">
        <is>
          <t>静态/动态代码分析; 部署前第三方审计</t>
        </is>
      </c>
      <c r="C8" s="13" t="inlineStr">
        <is>
          <t>独立审计; 形式化验证; 已部署合约定期重评估</t>
        </is>
      </c>
      <c r="D8" s="13" t="inlineStr">
        <is>
          <t>CodeBuild, CodeGuru</t>
        </is>
      </c>
    </row>
    <row r="9">
      <c r="A9" s="5" t="inlineStr">
        <is>
          <t>密钥管理</t>
        </is>
      </c>
      <c r="B9" s="13" t="inlineStr">
        <is>
          <t>HSM密钥生成+职责分离</t>
        </is>
      </c>
      <c r="C9" s="13" t="inlineStr">
        <is>
          <t>硬件安全模块; 密钥生成正式验证; 全面审计日志</t>
        </is>
      </c>
      <c r="D9" s="13" t="inlineStr">
        <is>
          <t>CloudHSM, KMS, CloudTrail</t>
        </is>
      </c>
    </row>
    <row r="10">
      <c r="A10" s="5" t="inlineStr">
        <is>
          <t>密钥管理</t>
        </is>
      </c>
      <c r="B10" s="13" t="inlineStr">
        <is>
          <t>无单点故障; 备份密钥独立存放</t>
        </is>
      </c>
      <c r="C10" s="13" t="inlineStr">
        <is>
          <t>多位置密钥存储; 备份与主密钥/种子短语分离</t>
        </is>
      </c>
      <c r="D10" s="13" t="inlineStr">
        <is>
          <t>CloudHSM(跨AZ), Secrets Manager</t>
        </is>
      </c>
    </row>
    <row r="11">
      <c r="A11" s="5" t="inlineStr">
        <is>
          <t>多重签名</t>
        </is>
      </c>
      <c r="B11" s="13" t="inlineStr">
        <is>
          <t>高价值操作M &gt; N/2签名者</t>
        </is>
      </c>
      <c r="C11" s="13" t="inlineStr">
        <is>
          <t>签名权限地理分布; 多样化授权机制; 定期测试</t>
        </is>
      </c>
      <c r="D11" s="13" t="inlineStr">
        <is>
          <t>Nitro Enclaves, Step Functions</t>
        </is>
      </c>
    </row>
    <row r="12">
      <c r="A12" s="5" t="inlineStr">
        <is>
          <t>访问控制</t>
        </is>
      </c>
      <c r="B12" s="13" t="inlineStr">
        <is>
          <t>所有关键系统访问多因素认证</t>
        </is>
      </c>
      <c r="C12" s="13" t="inlineStr">
        <is>
          <t>硬件认证; 生物识别; 时间限制; 持续会话验证</t>
        </is>
      </c>
      <c r="D12" s="13" t="inlineStr">
        <is>
          <t>Cognito(MFA), IAM Identity Center</t>
        </is>
      </c>
    </row>
    <row r="13">
      <c r="A13" s="5" t="inlineStr">
        <is>
          <t>网络安全</t>
        </is>
      </c>
      <c r="B13" s="13" t="inlineStr">
        <is>
          <t>网络分段+开发工作站隔离</t>
        </is>
      </c>
      <c r="C13" s="13" t="inlineStr">
        <is>
          <t>禁止直接生产访问; 端点保护; 安全密钥管理</t>
        </is>
      </c>
      <c r="D13" s="13" t="inlineStr">
        <is>
          <t>VPC, Network Firewall, SSM</t>
        </is>
      </c>
    </row>
    <row r="14">
      <c r="A14" s="5" t="inlineStr">
        <is>
          <t>网络安全策略</t>
        </is>
      </c>
      <c r="B14" s="13" t="inlineStr">
        <is>
          <t>CISO年度审查; 许可时提交VARA</t>
        </is>
      </c>
      <c r="C14" s="13" t="inlineStr">
        <is>
          <t>覆盖信息安全/访问控制/智能合约/事件响应/硬件标准</t>
        </is>
      </c>
      <c r="D14" s="13" t="inlineStr">
        <is>
          <t>Security Hub, Config, Audit Manager</t>
        </is>
      </c>
    </row>
    <row r="15">
      <c r="A15" s="5" t="inlineStr">
        <is>
          <t>事件响应</t>
        </is>
      </c>
      <c r="B15" s="13" t="inlineStr">
        <is>
          <t>重大网络安全事件72小时内通知VARA</t>
        </is>
      </c>
      <c r="C15" s="13" t="inlineStr">
        <is>
          <t>根因分析; 修复活动; 事件后全面轮换密钥; 安全基线重建</t>
        </is>
      </c>
      <c r="D15" s="13" t="inlineStr">
        <is>
          <t>GuardDuty, CloudTrail, EventBridge</t>
        </is>
      </c>
    </row>
    <row r="16">
      <c r="A16" s="5" t="inlineStr">
        <is>
          <t>数据泄露通知</t>
        </is>
      </c>
      <c r="B16" s="13" t="inlineStr">
        <is>
          <t>通知数据监管机构/主体后24小时内通知VARA</t>
        </is>
      </c>
      <c r="C16" s="13" t="inlineStr">
        <is>
          <t>书面合规计划; DPO任命; 安全证据收集</t>
        </is>
      </c>
      <c r="D16" s="13" t="inlineStr">
        <is>
          <t>Macie, Security Hub</t>
        </is>
      </c>
    </row>
    <row r="17">
      <c r="A17" s="5" t="inlineStr">
        <is>
          <t>业务连续性</t>
        </is>
      </c>
      <c r="B17" s="13" t="inlineStr">
        <is>
          <t>年度BCDR计划测试; 替代恢复站点</t>
        </is>
      </c>
      <c r="C17" s="13" t="inlineStr">
        <is>
          <t>应对DLT特定风险; 关键功能恢复优先级</t>
        </is>
      </c>
      <c r="D17" s="13" t="inlineStr">
        <is>
          <t>Multi-AZ, Cross-Region, Backup</t>
        </is>
      </c>
    </row>
    <row r="18">
      <c r="A18" s="5" t="inlineStr">
        <is>
          <t>监控与检测</t>
        </is>
      </c>
      <c r="B18" s="13" t="inlineStr">
        <is>
          <t>具备ML能力的实时交易监控</t>
        </is>
      </c>
      <c r="C18" s="13" t="inlineStr">
        <is>
          <t>行为分析; 规则监控; 实时告警; 内部用户活动监控</t>
        </is>
      </c>
      <c r="D18" s="13" t="inlineStr">
        <is>
          <t>GuardDuty, CloudWatch, SageMaker</t>
        </is>
      </c>
    </row>
    <row r="19">
      <c r="A19" s="5" t="inlineStr">
        <is>
          <t>审计日志</t>
        </is>
      </c>
      <c r="B19" s="13" t="inlineStr">
        <is>
          <t>防篡改日志保留最少1年</t>
        </is>
      </c>
      <c r="C19" s="13" t="inlineStr">
        <is>
          <t>捕获所有安全相关事件; 钱包/密钥操作; 实时告警</t>
        </is>
      </c>
      <c r="D19" s="13" t="inlineStr">
        <is>
          <t>CloudTrail, CloudWatch Logs, S3</t>
        </is>
      </c>
    </row>
    <row r="20">
      <c r="A20" s="5" t="inlineStr">
        <is>
          <t>数字运营韧性</t>
        </is>
      </c>
      <c r="B20" s="13" t="inlineStr">
        <is>
          <t>年度测试所有支持关键功能的系统</t>
        </is>
      </c>
      <c r="C20" s="13" t="inlineStr">
        <is>
          <t>漏洞扫描/网络评估/源码审查/场景测试/端到端测试/渗透测试</t>
        </is>
      </c>
      <c r="D20" s="13" t="inlineStr">
        <is>
          <t>Inspector, Config, CodeGuru</t>
        </is>
      </c>
    </row>
    <row r="21">
      <c r="A21" s="5" t="inlineStr">
        <is>
          <t>第三方管理</t>
        </is>
      </c>
      <c r="B21" s="13" t="inlineStr">
        <is>
          <t>所有技术服务提供商尽职调查</t>
        </is>
      </c>
      <c r="C21" s="13" t="inlineStr">
        <is>
          <t>书面合同; 多供应商策略; 纳入TLPT范围</t>
        </is>
      </c>
      <c r="D21" s="13" t="inlineStr">
        <is>
          <t>Artifact, Audit Manager</t>
        </is>
      </c>
    </row>
    <row r="22">
      <c r="A22" s="5" t="inlineStr">
        <is>
          <t>安全开发生命周期</t>
        </is>
      </c>
      <c r="B22" s="13" t="inlineStr">
        <is>
          <t>每个开发阶段集成安全</t>
        </is>
      </c>
      <c r="C22" s="13" t="inlineStr">
        <is>
          <t>部署前强制安全审查; 新功能威胁建模; 安全编码标准</t>
        </is>
      </c>
      <c r="D22" s="13" t="inlineStr">
        <is>
          <t>CodePipeline, Signer, Inspector</t>
        </is>
      </c>
    </row>
    <row r="23">
      <c r="A23" s="5" t="inlineStr">
        <is>
          <t>客户认证</t>
        </is>
      </c>
      <c r="B23" s="13" t="inlineStr">
        <is>
          <t>强MFA; 基于风险的挑战</t>
        </is>
      </c>
      <c r="C23" s="13" t="inlineStr">
        <is>
          <t>禁止即时通讯验证高风险操作; 可疑登录检测</t>
        </is>
      </c>
      <c r="D23" s="13" t="inlineStr">
        <is>
          <t>Cognito, WAF Bot Control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42" customWidth="1" min="3" max="3"/>
    <col width="35" customWidth="1" min="4" max="4"/>
    <col width="10" customWidth="1" min="5" max="5"/>
    <col width="28" customWidth="1" min="6" max="6"/>
  </cols>
  <sheetData>
    <row r="1">
      <c r="A1" s="1" t="inlineStr">
        <is>
          <t>真实案例与参考架构</t>
        </is>
      </c>
    </row>
    <row r="2">
      <c r="A2" s="2" t="inlineStr">
        <is>
          <t>AWS Case Studies, Blog Posts, GitHub Samples &amp; Solution Library</t>
        </is>
      </c>
    </row>
    <row r="4">
      <c r="A4" s="9" t="inlineStr">
        <is>
          <t>AWS客户案例</t>
        </is>
      </c>
    </row>
    <row r="5">
      <c r="A5" s="10" t="inlineStr">
        <is>
          <t>公司</t>
        </is>
      </c>
      <c r="B5" s="10" t="inlineStr">
        <is>
          <t>来源类型</t>
        </is>
      </c>
      <c r="C5" s="10" t="inlineStr">
        <is>
          <t>关键架构模式</t>
        </is>
      </c>
      <c r="D5" s="10" t="inlineStr">
        <is>
          <t>安全特性</t>
        </is>
      </c>
      <c r="E5" s="10" t="inlineStr">
        <is>
          <t>日期</t>
        </is>
      </c>
      <c r="F5" s="10" t="inlineStr">
        <is>
          <t>关键成果</t>
        </is>
      </c>
    </row>
    <row r="6">
      <c r="A6" s="46" t="inlineStr">
        <is>
          <t>Coinbase International</t>
        </is>
      </c>
      <c r="B6" s="13" t="inlineStr">
        <is>
          <t>Case Study</t>
        </is>
      </c>
      <c r="C6" s="13" t="inlineStr">
        <is>
          <t>EC2 z1d + Cluster Placement Groups + Aurora</t>
        </is>
      </c>
      <c r="D6" s="13" t="inlineStr">
        <is>
          <t>Nitro Enclaves, 百慕大金融监管</t>
        </is>
      </c>
      <c r="E6" s="52" t="inlineStr">
        <is>
          <t>2023</t>
        </is>
      </c>
      <c r="F6" s="13" t="inlineStr">
        <is>
          <t>100K msg/sec, 超低延迟</t>
        </is>
      </c>
    </row>
    <row r="7">
      <c r="A7" s="46" t="inlineStr">
        <is>
          <t>OSL (香港)</t>
        </is>
      </c>
      <c r="B7" s="13" t="inlineStr">
        <is>
          <t>Case Study</t>
        </is>
      </c>
      <c r="C7" s="13" t="inlineStr">
        <is>
          <t>微服务 on EKS + ECR + CI/CD</t>
        </is>
      </c>
      <c r="D7" s="13" t="inlineStr">
        <is>
          <t>Nitro Enclaves + KMS, SFC持牌</t>
        </is>
      </c>
      <c r="E7" s="52" t="inlineStr">
        <is>
          <t>2026</t>
        </is>
      </c>
      <c r="F7" s="13" t="inlineStr">
        <is>
          <t>支持2/3香港现货加密ETF</t>
        </is>
      </c>
    </row>
    <row r="8">
      <c r="A8" s="46" t="inlineStr">
        <is>
          <t>RedotPay</t>
        </is>
      </c>
      <c r="B8" s="13" t="inlineStr">
        <is>
          <t>Case Study</t>
        </is>
      </c>
      <c r="C8" s="13" t="inlineStr">
        <is>
          <t>Aurora + ALB + EC2 + K8s + CodePipeline</t>
        </is>
      </c>
      <c r="D8" s="13" t="inlineStr">
        <is>
          <t>数据安全, 合规基础设施</t>
        </is>
      </c>
      <c r="E8" s="52" t="inlineStr">
        <is>
          <t>2026</t>
        </is>
      </c>
      <c r="F8" s="13" t="inlineStr">
        <is>
          <t>500万+用户, 1周部署</t>
        </is>
      </c>
    </row>
    <row r="9">
      <c r="A9" s="46" t="inlineStr">
        <is>
          <t>Auros</t>
        </is>
      </c>
      <c r="B9" s="13" t="inlineStr">
        <is>
          <t>Case Study</t>
        </is>
      </c>
      <c r="C9" s="13" t="inlineStr">
        <is>
          <t>链上交易执行</t>
        </is>
      </c>
      <c r="D9" s="13" t="inlineStr">
        <is>
          <t>Nitro Enclaves密钥保护</t>
        </is>
      </c>
      <c r="E9" s="52" t="inlineStr">
        <is>
          <t>2024</t>
        </is>
      </c>
      <c r="F9" s="13" t="inlineStr">
        <is>
          <t>安全链上交易无延迟妥协</t>
        </is>
      </c>
    </row>
    <row r="10">
      <c r="A10" s="46" t="inlineStr">
        <is>
          <t>Crypto.com</t>
        </is>
      </c>
      <c r="B10" s="13" t="inlineStr">
        <is>
          <t>Case Study</t>
        </is>
      </c>
      <c r="C10" s="13" t="inlineStr">
        <is>
          <t>Transit Gateway多区域 + Gen AI</t>
        </is>
      </c>
      <c r="D10" s="13" t="inlineStr">
        <is>
          <t>数据驻留合规, VPC隔离</t>
        </is>
      </c>
      <c r="E10" s="52" t="inlineStr">
        <is>
          <t>2024</t>
        </is>
      </c>
      <c r="F10" s="13" t="inlineStr">
        <is>
          <t>1亿用户, 90个国家</t>
        </is>
      </c>
    </row>
    <row r="11">
      <c r="A11" s="46" t="inlineStr">
        <is>
          <t>Pionex US</t>
        </is>
      </c>
      <c r="B11" s="13" t="inlineStr">
        <is>
          <t>Case Study</t>
        </is>
      </c>
      <c r="C11" s="13" t="inlineStr">
        <is>
          <t>Aurora + Zero-ETL集成</t>
        </is>
      </c>
      <c r="D11" s="13" t="inlineStr">
        <is>
          <t>自动化加密交易</t>
        </is>
      </c>
      <c r="E11" s="52" t="inlineStr">
        <is>
          <t>2024</t>
        </is>
      </c>
      <c r="F11" s="13" t="inlineStr">
        <is>
          <t>延迟降低98%</t>
        </is>
      </c>
    </row>
    <row r="12">
      <c r="A12" s="46" t="inlineStr">
        <is>
          <t>Itaú Bank</t>
        </is>
      </c>
      <c r="B12" s="13" t="inlineStr">
        <is>
          <t>Case Study</t>
        </is>
      </c>
      <c r="C12" s="13" t="inlineStr">
        <is>
          <t>Nitro Enclaves数字资产框架</t>
        </is>
      </c>
      <c r="D12" s="13" t="inlineStr">
        <is>
          <t>治理策略, 合规协议</t>
        </is>
      </c>
      <c r="E12" s="52" t="inlineStr">
        <is>
          <t>2024</t>
        </is>
      </c>
      <c r="F12" s="13" t="inlineStr">
        <is>
          <t>安全加密货币托管</t>
        </is>
      </c>
    </row>
    <row r="13">
      <c r="A13" s="46" t="inlineStr">
        <is>
          <t>One Trading</t>
        </is>
      </c>
      <c r="B13" s="13" t="inlineStr">
        <is>
          <t>Blog Post</t>
        </is>
      </c>
      <c r="C13" s="13" t="inlineStr">
        <is>
          <t>EC2 CPG共享, 领导者-跟随者复制</t>
        </is>
      </c>
      <c r="D13" s="13" t="inlineStr">
        <is>
          <t>单AZ隔离, 多AZ韧性</t>
        </is>
      </c>
      <c r="E13" s="52" t="inlineStr">
        <is>
          <t>2023</t>
        </is>
      </c>
      <c r="F13" s="13" t="inlineStr">
        <is>
          <t>Sub-200μs往返延迟</t>
        </is>
      </c>
    </row>
    <row r="14">
      <c r="A14" s="46" t="inlineStr">
        <is>
          <t>Derive</t>
        </is>
      </c>
      <c r="B14" s="13" t="inlineStr">
        <is>
          <t>Blog Post</t>
        </is>
      </c>
      <c r="C14" s="13" t="inlineStr">
        <is>
          <t>Graviton on EKS + Aurora, 混合CEX/DEX</t>
        </is>
      </c>
      <c r="D14" s="13" t="inlineStr">
        <is>
          <t>链上结算透明度, OP Stack L2</t>
        </is>
      </c>
      <c r="E14" s="52" t="inlineStr">
        <is>
          <t>2025</t>
        </is>
      </c>
      <c r="F14" s="13" t="inlineStr">
        <is>
          <t>低延迟去中心化交易</t>
        </is>
      </c>
    </row>
    <row r="15">
      <c r="A15" s="46" t="inlineStr">
        <is>
          <t>Jupiter DEX</t>
        </is>
      </c>
      <c r="B15" s="13" t="inlineStr">
        <is>
          <t>Case Study</t>
        </is>
      </c>
      <c r="C15" s="13" t="inlineStr">
        <is>
          <t>CloudFront CDN + Solana路由</t>
        </is>
      </c>
      <c r="D15" s="13" t="inlineStr">
        <is>
          <t>60%延迟降低</t>
        </is>
      </c>
      <c r="E15" s="52" t="inlineStr">
        <is>
          <t>2025</t>
        </is>
      </c>
      <c r="F15" s="13" t="inlineStr">
        <is>
          <t>Solana最大DEX聚合器</t>
        </is>
      </c>
    </row>
    <row r="17">
      <c r="A17" s="9" t="inlineStr">
        <is>
          <t>AWS Blog Posts &amp; 参考架构</t>
        </is>
      </c>
    </row>
    <row r="18">
      <c r="A18" s="10" t="inlineStr">
        <is>
          <t>标题</t>
        </is>
      </c>
      <c r="B18" s="10" t="inlineStr">
        <is>
          <t>来源</t>
        </is>
      </c>
      <c r="C18" s="10" t="inlineStr">
        <is>
          <t>关键内容</t>
        </is>
      </c>
      <c r="D18" s="10" t="inlineStr">
        <is>
          <t>日期</t>
        </is>
      </c>
    </row>
    <row r="19">
      <c r="A19" s="13" t="inlineStr">
        <is>
          <t>Migrate CEX to AWS (Part 1&amp;2)</t>
        </is>
      </c>
      <c r="B19" s="13" t="inlineStr">
        <is>
          <t>AWS Web3 Blog</t>
        </is>
      </c>
      <c r="C19" s="13" t="inlineStr">
        <is>
          <t>无状态微服务交易引擎, 订单簿, 市场数据分发</t>
        </is>
      </c>
      <c r="D19" s="13" t="inlineStr">
        <is>
          <t>Nov 2025</t>
        </is>
      </c>
    </row>
    <row r="20">
      <c r="A20" s="13" t="inlineStr">
        <is>
          <t>Optimize tick-to-trade latency</t>
        </is>
      </c>
      <c r="B20" s="13" t="inlineStr">
        <is>
          <t>AWS Web3 Blog</t>
        </is>
      </c>
      <c r="C20" s="13" t="inlineStr">
        <is>
          <t>EC2计算优化, 内核旁路, 混合部署</t>
        </is>
      </c>
      <c r="D20" s="13" t="inlineStr">
        <is>
          <t>Jul 2025</t>
        </is>
      </c>
    </row>
    <row r="21">
      <c r="A21" s="13" t="inlineStr">
        <is>
          <t>Low latency cloud-native exchanges</t>
        </is>
      </c>
      <c r="B21" s="13" t="inlineStr">
        <is>
          <t>AWS Industries Blog</t>
        </is>
      </c>
      <c r="C21" s="13" t="inlineStr">
        <is>
          <t>EC2 CPG, ZeroMQ, Redis Streams, Kinesis, TGW Multicast</t>
        </is>
      </c>
      <c r="D21" s="13" t="inlineStr">
        <is>
          <t>Nov 2023</t>
        </is>
      </c>
    </row>
    <row r="23">
      <c r="A23" s="9" t="inlineStr">
        <is>
          <t>aws-samples GitHub Repositories</t>
        </is>
      </c>
    </row>
    <row r="24">
      <c r="A24" s="10" t="inlineStr">
        <is>
          <t>仓库名称</t>
        </is>
      </c>
      <c r="B24" s="10" t="inlineStr">
        <is>
          <t>架构模式</t>
        </is>
      </c>
      <c r="C24" s="10" t="inlineStr">
        <is>
          <t>安全特性</t>
        </is>
      </c>
    </row>
    <row r="25">
      <c r="A25" s="13" t="inlineStr">
        <is>
          <t>nitro-enclave-blockchain-wallet-on-eks</t>
        </is>
      </c>
      <c r="B25" s="13" t="inlineStr">
        <is>
          <t>EKS + Nitro Enclaves, Ethereum签名, CDK</t>
        </is>
      </c>
      <c r="C25" s="13" t="inlineStr">
        <is>
          <t>隔离enclave密钥管理</t>
        </is>
      </c>
    </row>
    <row r="26">
      <c r="A26" s="13" t="inlineStr">
        <is>
          <t>aws-nitro-enclave-blockchain-wallet</t>
        </is>
      </c>
      <c r="B26" s="13" t="inlineStr">
        <is>
          <t>Nitro Enclave钱包签名</t>
        </is>
      </c>
      <c r="C26" s="13" t="inlineStr">
        <is>
          <t>安全密钥隔离</t>
        </is>
      </c>
    </row>
    <row r="27">
      <c r="A27" s="13" t="inlineStr">
        <is>
          <t>aws-blockchain-node-runners</t>
        </is>
      </c>
      <c r="B27" s="13" t="inlineStr">
        <is>
          <t>云端区块链节点部署</t>
        </is>
      </c>
      <c r="C27" s="13" t="inlineStr">
        <is>
          <t>基础设施自动化</t>
        </is>
      </c>
    </row>
    <row r="28">
      <c r="A28" s="13" t="inlineStr">
        <is>
          <t>digital-asset-portfolio-tracker</t>
        </is>
      </c>
      <c r="B28" s="13" t="inlineStr">
        <is>
          <t>React + Managed Blockchain Query, CDK</t>
        </is>
      </c>
      <c r="C28" s="13" t="inlineStr">
        <is>
          <t>BTC/ETH投资组合跟踪</t>
        </is>
      </c>
    </row>
    <row r="29">
      <c r="A29" s="13" t="inlineStr">
        <is>
          <t>Guidance-for-Authentication-with-Digital-Wallets</t>
        </is>
      </c>
      <c r="B29" s="13" t="inlineStr">
        <is>
          <t>Cognito + API Gateway Web3代理</t>
        </is>
      </c>
      <c r="C29" s="13" t="inlineStr">
        <is>
          <t>临时凭证, dApp认证</t>
        </is>
      </c>
    </row>
    <row r="32">
      <c r="A32" s="9" t="inlineStr">
        <is>
          <t>云厂商安全能力对比</t>
        </is>
      </c>
    </row>
    <row r="33">
      <c r="A33" s="10" t="inlineStr">
        <is>
          <t>能力</t>
        </is>
      </c>
      <c r="B33" s="10" t="inlineStr">
        <is>
          <t>AWS</t>
        </is>
      </c>
      <c r="C33" s="10" t="inlineStr">
        <is>
          <t>Azure</t>
        </is>
      </c>
      <c r="D33" s="10" t="inlineStr">
        <is>
          <t>GCP</t>
        </is>
      </c>
    </row>
    <row r="34">
      <c r="A34" s="46" t="inlineStr">
        <is>
          <t>机密计算</t>
        </is>
      </c>
      <c r="B34" s="13" t="inlineStr">
        <is>
          <t>Nitro Enclaves (隔离VM, 无持久存储)</t>
        </is>
      </c>
      <c r="C34" s="13" t="inlineStr">
        <is>
          <t>Confidential VMs (AMD SEV-SNP, Intel SGX)</t>
        </is>
      </c>
      <c r="D34" s="13" t="inlineStr">
        <is>
          <t>Confidential VMs (AMD SEV, Intel TDX), Confidential Space</t>
        </is>
      </c>
    </row>
    <row r="35">
      <c r="A35" s="46" t="inlineStr">
        <is>
          <t>HSM服务</t>
        </is>
      </c>
      <c r="B35" s="13" t="inlineStr">
        <is>
          <t>CloudHSM - FIPS 140-2 L3, 单租户</t>
        </is>
      </c>
      <c r="C35" s="13" t="inlineStr">
        <is>
          <t>Key Vault Managed HSM - FIPS 140-2 L3</t>
        </is>
      </c>
      <c r="D35" s="13" t="inlineStr">
        <is>
          <t>Cloud HSM - FIPS 140-2 L3 (单租户2026 GA)</t>
        </is>
      </c>
    </row>
    <row r="36">
      <c r="A36" s="46" t="inlineStr">
        <is>
          <t>DDoS防护</t>
        </is>
      </c>
      <c r="B36" s="13" t="inlineStr">
        <is>
          <t>Shield Standard(免费) + Advanced($3K/月)</t>
        </is>
      </c>
      <c r="C36" s="13" t="inlineStr">
        <is>
          <t>DDoS Network Protection + IP Protection</t>
        </is>
      </c>
      <c r="D36" s="13" t="inlineStr">
        <is>
          <t>Cloud Armor Standard(免费) + Enterprise</t>
        </is>
      </c>
    </row>
    <row r="37">
      <c r="A37" s="46" t="inlineStr">
        <is>
          <t>WAF</t>
        </is>
      </c>
      <c r="B37" s="13" t="inlineStr">
        <is>
          <t>AWS WAF (自定义规则, 托管规则, Bot Control)</t>
        </is>
      </c>
      <c r="C37" s="13" t="inlineStr">
        <is>
          <t>Azure WAF on App GW/Front Door (OWASP CRS)</t>
        </is>
      </c>
      <c r="D37" s="13" t="inlineStr">
        <is>
          <t>Cloud Armor WAF (预配置规则, 自适应保护)</t>
        </is>
      </c>
    </row>
    <row r="38">
      <c r="A38" s="46" t="inlineStr">
        <is>
          <t>区块链密钥签名</t>
        </is>
      </c>
      <c r="B38" s="13" t="inlineStr">
        <is>
          <t>Nitro Enclaves + KMS + Secrets Manager (专用指南)</t>
        </is>
      </c>
      <c r="C38" s="13" t="inlineStr">
        <is>
          <t>Managed HSM + Confidential Computing</t>
        </is>
      </c>
      <c r="D38" s="13" t="inlineStr">
        <is>
          <t>Confidential Space + MPC (Fireblocks集成)</t>
        </is>
      </c>
    </row>
    <row r="39">
      <c r="A39" s="46" t="inlineStr">
        <is>
          <t>交易所专用指南</t>
        </is>
      </c>
      <c r="B39" s="13" t="inlineStr">
        <is>
          <t>专用CEX迁移指南(3部分, 2025年11月)</t>
        </is>
      </c>
      <c r="C39" s="13" t="inlineStr">
        <is>
          <t>通用区块链/金融科技架构</t>
        </is>
      </c>
      <c r="D39" s="13" t="inlineStr">
        <is>
          <t>MPC数字资产参考架构</t>
        </is>
      </c>
    </row>
    <row r="40">
      <c r="A40" s="46" t="inlineStr">
        <is>
          <t>案例数量</t>
        </is>
      </c>
      <c r="B40" s="13" t="inlineStr">
        <is>
          <t>10+ (Coinbase, OSL, RedotPay等)</t>
        </is>
      </c>
      <c r="C40" s="13" t="inlineStr">
        <is>
          <t>有限 (无公开交易所案例)</t>
        </is>
      </c>
      <c r="D40" s="13" t="inlineStr">
        <is>
          <t>2-3 (Blockchain.com, Fireblocks)</t>
        </is>
      </c>
    </row>
  </sheetData>
  <mergeCells count="6">
    <mergeCell ref="A2:F2"/>
    <mergeCell ref="A1:F1"/>
    <mergeCell ref="A23:F23"/>
    <mergeCell ref="A32:F32"/>
    <mergeCell ref="A17:F17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2026-06-04T03:30:10Z</dcterms:created>
  <dcterms:modified xmlns:dcterms="http://purl.org/dc/terms/" xmlns:xsi="http://www.w3.org/2001/XMLSchema-instance" xsi:type="dcterms:W3CDTF">2026-06-04T03:36:19Z</dcterms:modified>
</cp:coreProperties>
</file>